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1520" windowHeight="13800" firstSheet="1" activeTab="1"/>
  </bookViews>
  <sheets>
    <sheet name="Gesamtauswertung" sheetId="2" r:id="rId1"/>
    <sheet name="Dateneingabe" sheetId="3" r:id="rId2"/>
    <sheet name="Dienstgradstufen" sheetId="4" r:id="rId3"/>
    <sheet name="Tabelle1" sheetId="5" r:id="rId4"/>
  </sheets>
  <definedNames>
    <definedName name="_xlnm._FilterDatabase" localSheetId="1" hidden="1">Dateneingabe!$A$2:$AG$2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3" l="1"/>
  <c r="K28" i="3" s="1" a="1"/>
  <c r="K28" i="3" s="1"/>
  <c r="H28" i="3" a="1"/>
  <c r="H28" i="3" s="1"/>
  <c r="I28" i="3" s="1" a="1"/>
  <c r="I28" i="3" s="1"/>
  <c r="F28" i="3"/>
  <c r="A28" i="3"/>
  <c r="J27" i="3"/>
  <c r="K27" i="3" s="1" a="1"/>
  <c r="K27" i="3" s="1"/>
  <c r="H27" i="3" a="1"/>
  <c r="H27" i="3" s="1"/>
  <c r="I27" i="3" s="1" a="1"/>
  <c r="I27" i="3" s="1"/>
  <c r="F27" i="3"/>
  <c r="A27" i="3"/>
  <c r="J26" i="3"/>
  <c r="K26" i="3" s="1" a="1"/>
  <c r="K26" i="3" s="1"/>
  <c r="H26" i="3" a="1"/>
  <c r="H26" i="3" s="1"/>
  <c r="I26" i="3" s="1" a="1"/>
  <c r="I26" i="3" s="1"/>
  <c r="F26" i="3"/>
  <c r="A26" i="3"/>
  <c r="J25" i="3"/>
  <c r="K25" i="3" s="1" a="1"/>
  <c r="K25" i="3" s="1"/>
  <c r="H25" i="3" a="1"/>
  <c r="H25" i="3" s="1"/>
  <c r="I25" i="3" s="1" a="1"/>
  <c r="I25" i="3" s="1"/>
  <c r="F25" i="3"/>
  <c r="A25" i="3"/>
  <c r="G26" i="3" l="1"/>
  <c r="G28" i="3"/>
  <c r="G25" i="3"/>
  <c r="G27" i="3"/>
  <c r="J24" i="3"/>
  <c r="K24" i="3" s="1" a="1"/>
  <c r="K24" i="3" s="1"/>
  <c r="H24" i="3" a="1"/>
  <c r="H24" i="3" s="1"/>
  <c r="I24" i="3" s="1" a="1"/>
  <c r="I24" i="3" s="1"/>
  <c r="F24" i="3"/>
  <c r="A24" i="3"/>
  <c r="J23" i="3"/>
  <c r="K23" i="3" s="1" a="1"/>
  <c r="K23" i="3" s="1"/>
  <c r="H23" i="3" a="1"/>
  <c r="H23" i="3" s="1"/>
  <c r="I23" i="3" s="1" a="1"/>
  <c r="I23" i="3" s="1"/>
  <c r="F23" i="3"/>
  <c r="A23" i="3"/>
  <c r="J22" i="3"/>
  <c r="K22" i="3" s="1" a="1"/>
  <c r="K22" i="3" s="1"/>
  <c r="H22" i="3" a="1"/>
  <c r="H22" i="3" s="1"/>
  <c r="I22" i="3" s="1" a="1"/>
  <c r="I22" i="3" s="1"/>
  <c r="F22" i="3"/>
  <c r="A22" i="3"/>
  <c r="J21" i="3"/>
  <c r="K21" i="3" s="1" a="1"/>
  <c r="K21" i="3" s="1"/>
  <c r="H21" i="3" a="1"/>
  <c r="H21" i="3" s="1"/>
  <c r="I21" i="3" s="1" a="1"/>
  <c r="I21" i="3" s="1"/>
  <c r="F21" i="3"/>
  <c r="A21" i="3"/>
  <c r="J20" i="3"/>
  <c r="K20" i="3" s="1" a="1"/>
  <c r="K20" i="3" s="1"/>
  <c r="H20" i="3" a="1"/>
  <c r="H20" i="3" s="1"/>
  <c r="I20" i="3" s="1" a="1"/>
  <c r="I20" i="3" s="1"/>
  <c r="F20" i="3"/>
  <c r="A20" i="3"/>
  <c r="J19" i="3"/>
  <c r="K19" i="3" s="1" a="1"/>
  <c r="K19" i="3" s="1"/>
  <c r="H19" i="3" a="1"/>
  <c r="H19" i="3" s="1"/>
  <c r="I19" i="3" s="1" a="1"/>
  <c r="I19" i="3" s="1"/>
  <c r="F19" i="3"/>
  <c r="A19" i="3"/>
  <c r="G19" i="3" l="1"/>
  <c r="G24" i="3"/>
  <c r="G21" i="3"/>
  <c r="G20" i="3"/>
  <c r="G23" i="3"/>
  <c r="G22" i="3"/>
  <c r="A4" i="3"/>
  <c r="F4" i="3"/>
  <c r="H4" i="3" a="1"/>
  <c r="H4" i="3" s="1"/>
  <c r="I4" i="3" s="1" a="1"/>
  <c r="I4" i="3" s="1"/>
  <c r="J4" i="3"/>
  <c r="K4" i="3" s="1" a="1"/>
  <c r="K4" i="3" s="1"/>
  <c r="J18" i="3"/>
  <c r="K18" i="3" s="1" a="1"/>
  <c r="K18" i="3" s="1"/>
  <c r="H18" i="3" a="1"/>
  <c r="H18" i="3" s="1"/>
  <c r="I18" i="3" s="1" a="1"/>
  <c r="I18" i="3" s="1"/>
  <c r="F18" i="3"/>
  <c r="A18" i="3"/>
  <c r="J17" i="3"/>
  <c r="K17" i="3" s="1" a="1"/>
  <c r="K17" i="3" s="1"/>
  <c r="H17" i="3" a="1"/>
  <c r="H17" i="3" s="1"/>
  <c r="I17" i="3" s="1" a="1"/>
  <c r="I17" i="3" s="1"/>
  <c r="F17" i="3"/>
  <c r="A17" i="3"/>
  <c r="G4" i="3" l="1"/>
  <c r="G18" i="3"/>
  <c r="G17" i="3"/>
  <c r="E93" i="2" s="1"/>
  <c r="J16" i="3"/>
  <c r="K16" i="3" s="1" a="1"/>
  <c r="K16" i="3" s="1"/>
  <c r="H16" i="3" a="1"/>
  <c r="H16" i="3" s="1"/>
  <c r="F16" i="3"/>
  <c r="A16" i="3"/>
  <c r="J15" i="3"/>
  <c r="K15" i="3" s="1" a="1"/>
  <c r="K15" i="3" s="1"/>
  <c r="H15" i="3" a="1"/>
  <c r="H15" i="3" s="1"/>
  <c r="F15" i="3"/>
  <c r="A15" i="3"/>
  <c r="J14" i="3"/>
  <c r="K14" i="3" s="1" a="1"/>
  <c r="K14" i="3" s="1"/>
  <c r="H14" i="3" a="1"/>
  <c r="H14" i="3" s="1"/>
  <c r="F14" i="3"/>
  <c r="A14" i="3"/>
  <c r="J13" i="3"/>
  <c r="K13" i="3" s="1" a="1"/>
  <c r="K13" i="3" s="1"/>
  <c r="H13" i="3" a="1"/>
  <c r="H13" i="3" s="1"/>
  <c r="F13" i="3"/>
  <c r="A13" i="3"/>
  <c r="J12" i="3"/>
  <c r="K12" i="3" s="1" a="1"/>
  <c r="K12" i="3" s="1"/>
  <c r="H12" i="3" a="1"/>
  <c r="H12" i="3" s="1"/>
  <c r="F12" i="3"/>
  <c r="A12" i="3"/>
  <c r="A10" i="3"/>
  <c r="F10" i="3"/>
  <c r="H10" i="3" a="1"/>
  <c r="H10" i="3" s="1"/>
  <c r="I10" i="3" s="1" a="1"/>
  <c r="I10" i="3" s="1"/>
  <c r="J10" i="3"/>
  <c r="K10" i="3" s="1" a="1"/>
  <c r="K10" i="3" s="1"/>
  <c r="J11" i="3"/>
  <c r="K11" i="3" s="1" a="1"/>
  <c r="K11" i="3" s="1"/>
  <c r="H11" i="3" a="1"/>
  <c r="H11" i="3" s="1"/>
  <c r="F11" i="3"/>
  <c r="A11" i="3"/>
  <c r="J9" i="3"/>
  <c r="K9" i="3" s="1" a="1"/>
  <c r="K9" i="3" s="1"/>
  <c r="H9" i="3" a="1"/>
  <c r="H9" i="3" s="1"/>
  <c r="F9" i="3"/>
  <c r="A9" i="3"/>
  <c r="J8" i="3"/>
  <c r="K8" i="3" s="1" a="1"/>
  <c r="K8" i="3" s="1"/>
  <c r="H8" i="3" a="1"/>
  <c r="H8" i="3" s="1"/>
  <c r="I8" i="3" s="1" a="1"/>
  <c r="I8" i="3" s="1"/>
  <c r="F8" i="3"/>
  <c r="A8" i="3"/>
  <c r="J7" i="3"/>
  <c r="K7" i="3" s="1" a="1"/>
  <c r="K7" i="3" s="1"/>
  <c r="H7" i="3" a="1"/>
  <c r="H7" i="3" s="1"/>
  <c r="F7" i="3"/>
  <c r="A7" i="3"/>
  <c r="J6" i="3"/>
  <c r="K6" i="3" s="1" a="1"/>
  <c r="K6" i="3" s="1"/>
  <c r="H6" i="3" a="1"/>
  <c r="H6" i="3" s="1"/>
  <c r="F6" i="3"/>
  <c r="A6" i="3"/>
  <c r="J5" i="3"/>
  <c r="K5" i="3" s="1" a="1"/>
  <c r="K5" i="3" s="1"/>
  <c r="H5" i="3" a="1"/>
  <c r="H5" i="3" s="1"/>
  <c r="F5" i="3"/>
  <c r="A5" i="3"/>
  <c r="B101" i="2"/>
  <c r="C101" i="2"/>
  <c r="D101" i="2"/>
  <c r="E101" i="2"/>
  <c r="B3" i="2"/>
  <c r="C3" i="2"/>
  <c r="D3" i="2"/>
  <c r="E3" i="2"/>
  <c r="B4" i="2"/>
  <c r="C4" i="2"/>
  <c r="D4" i="2"/>
  <c r="E4" i="2"/>
  <c r="B5" i="2"/>
  <c r="C5" i="2"/>
  <c r="D5" i="2"/>
  <c r="E5" i="2"/>
  <c r="B6" i="2"/>
  <c r="C6" i="2"/>
  <c r="D6" i="2"/>
  <c r="E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D85" i="2"/>
  <c r="E85" i="2"/>
  <c r="B86" i="2"/>
  <c r="C86" i="2"/>
  <c r="D86" i="2"/>
  <c r="E86" i="2"/>
  <c r="B87" i="2"/>
  <c r="C87" i="2"/>
  <c r="D87" i="2"/>
  <c r="E87" i="2"/>
  <c r="B88" i="2"/>
  <c r="C88" i="2"/>
  <c r="B89" i="2"/>
  <c r="C89" i="2"/>
  <c r="B90" i="2"/>
  <c r="C90" i="2"/>
  <c r="B91" i="2"/>
  <c r="C91" i="2"/>
  <c r="B92" i="2"/>
  <c r="C92" i="2"/>
  <c r="B93" i="2"/>
  <c r="C93" i="2"/>
  <c r="D93" i="2"/>
  <c r="B94" i="2"/>
  <c r="C94" i="2"/>
  <c r="D94" i="2"/>
  <c r="E94" i="2"/>
  <c r="B95" i="2"/>
  <c r="C95" i="2"/>
  <c r="D95" i="2"/>
  <c r="E95" i="2"/>
  <c r="B96" i="2"/>
  <c r="C96" i="2"/>
  <c r="D96" i="2"/>
  <c r="E96" i="2"/>
  <c r="B97" i="2"/>
  <c r="C97" i="2"/>
  <c r="D97" i="2"/>
  <c r="E97" i="2"/>
  <c r="B98" i="2"/>
  <c r="C98" i="2"/>
  <c r="D98" i="2"/>
  <c r="E98" i="2"/>
  <c r="B99" i="2"/>
  <c r="C99" i="2"/>
  <c r="D99" i="2"/>
  <c r="E99" i="2"/>
  <c r="B100" i="2"/>
  <c r="C100" i="2"/>
  <c r="D100" i="2"/>
  <c r="E100" i="2"/>
  <c r="C2" i="2"/>
  <c r="B2" i="2"/>
  <c r="D64" i="2"/>
  <c r="D63" i="2"/>
  <c r="D62" i="2"/>
  <c r="D61" i="2"/>
  <c r="D60" i="2"/>
  <c r="J3" i="3"/>
  <c r="K3" i="3" s="1" a="1"/>
  <c r="K3" i="3" s="1"/>
  <c r="H3" i="3" a="1"/>
  <c r="H3" i="3" s="1"/>
  <c r="D58" i="2" s="1"/>
  <c r="F3" i="3"/>
  <c r="A3" i="3"/>
  <c r="D57" i="2"/>
  <c r="D56" i="2"/>
  <c r="D55" i="2"/>
  <c r="D54" i="2"/>
  <c r="D53" i="2"/>
  <c r="D50" i="2"/>
  <c r="D49" i="2"/>
  <c r="D74" i="2"/>
  <c r="D70" i="2"/>
  <c r="D68" i="2"/>
  <c r="D2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G15" i="3" l="1"/>
  <c r="E91" i="2" s="1"/>
  <c r="I16" i="3" a="1"/>
  <c r="I16" i="3" s="1"/>
  <c r="G16" i="3"/>
  <c r="E92" i="2" s="1"/>
  <c r="D92" i="2"/>
  <c r="I15" i="3" a="1"/>
  <c r="I15" i="3" s="1"/>
  <c r="D91" i="2"/>
  <c r="G14" i="3"/>
  <c r="E90" i="2" s="1"/>
  <c r="I14" i="3" a="1"/>
  <c r="I14" i="3" s="1"/>
  <c r="D90" i="2"/>
  <c r="I13" i="3" a="1"/>
  <c r="I13" i="3" s="1"/>
  <c r="G13" i="3"/>
  <c r="E89" i="2" s="1"/>
  <c r="D89" i="2"/>
  <c r="G12" i="3"/>
  <c r="E88" i="2" s="1"/>
  <c r="D88" i="2"/>
  <c r="I12" i="3" a="1"/>
  <c r="I12" i="3" s="1"/>
  <c r="G10" i="3"/>
  <c r="D84" i="2"/>
  <c r="E84" i="2"/>
  <c r="D83" i="2"/>
  <c r="E83" i="2"/>
  <c r="D82" i="2"/>
  <c r="I11" i="3" a="1"/>
  <c r="I11" i="3" s="1"/>
  <c r="G11" i="3"/>
  <c r="E82" i="2" s="1"/>
  <c r="D81" i="2"/>
  <c r="G9" i="3"/>
  <c r="E81" i="2" s="1"/>
  <c r="I9" i="3" a="1"/>
  <c r="I9" i="3" s="1"/>
  <c r="G8" i="3"/>
  <c r="E79" i="2" s="1"/>
  <c r="E80" i="2"/>
  <c r="D80" i="2"/>
  <c r="D79" i="2"/>
  <c r="G5" i="3"/>
  <c r="E76" i="2" s="1"/>
  <c r="G6" i="3"/>
  <c r="E77" i="2" s="1"/>
  <c r="D78" i="2"/>
  <c r="G7" i="3"/>
  <c r="E78" i="2" s="1"/>
  <c r="I7" i="3" a="1"/>
  <c r="I7" i="3" s="1"/>
  <c r="I6" i="3" a="1"/>
  <c r="I6" i="3" s="1"/>
  <c r="D77" i="2"/>
  <c r="I5" i="3" a="1"/>
  <c r="I5" i="3" s="1"/>
  <c r="D76" i="2"/>
  <c r="D73" i="2"/>
  <c r="D71" i="2"/>
  <c r="D69" i="2"/>
  <c r="D67" i="2"/>
  <c r="D65" i="2"/>
  <c r="D59" i="2"/>
  <c r="D51" i="2"/>
  <c r="D72" i="2"/>
  <c r="D66" i="2"/>
  <c r="D52" i="2"/>
  <c r="E59" i="2"/>
  <c r="E52" i="2"/>
  <c r="E64" i="2"/>
  <c r="E63" i="2"/>
  <c r="E62" i="2"/>
  <c r="E61" i="2"/>
  <c r="E60" i="2"/>
  <c r="G3" i="3"/>
  <c r="E58" i="2" s="1"/>
  <c r="I3" i="3" a="1"/>
  <c r="I3" i="3" s="1"/>
  <c r="E57" i="2"/>
  <c r="E56" i="2"/>
  <c r="E55" i="2"/>
  <c r="E54" i="2"/>
  <c r="E53" i="2"/>
  <c r="E8" i="2"/>
  <c r="E65" i="2"/>
  <c r="E67" i="2"/>
  <c r="E71" i="2"/>
  <c r="E73" i="2"/>
  <c r="E51" i="2"/>
  <c r="E50" i="2"/>
  <c r="E49" i="2"/>
  <c r="E29" i="2"/>
  <c r="E11" i="2"/>
  <c r="E42" i="2"/>
  <c r="E37" i="2"/>
  <c r="E27" i="2"/>
  <c r="E25" i="2"/>
  <c r="E20" i="2"/>
  <c r="E18" i="2"/>
  <c r="E14" i="2"/>
  <c r="E46" i="2"/>
  <c r="E41" i="2"/>
  <c r="E19" i="2"/>
  <c r="E13" i="2"/>
  <c r="E72" i="2"/>
  <c r="E28" i="2"/>
  <c r="E21" i="2"/>
  <c r="E10" i="2"/>
  <c r="E12" i="2"/>
  <c r="E69" i="2"/>
  <c r="E66" i="2"/>
  <c r="E70" i="2"/>
  <c r="E68" i="2"/>
  <c r="E74" i="2"/>
  <c r="E15" i="2"/>
  <c r="E7" i="2"/>
  <c r="E43" i="2"/>
  <c r="E48" i="2"/>
  <c r="E34" i="2"/>
  <c r="E22" i="2"/>
  <c r="E47" i="2"/>
  <c r="E33" i="2"/>
  <c r="E26" i="2"/>
  <c r="E40" i="2"/>
  <c r="E9" i="2"/>
  <c r="E36" i="2"/>
  <c r="E35" i="2"/>
  <c r="E45" i="2"/>
  <c r="E38" i="2"/>
  <c r="E31" i="2"/>
  <c r="E39" i="2"/>
  <c r="E30" i="2"/>
  <c r="E16" i="2"/>
  <c r="E32" i="2"/>
  <c r="E24" i="2"/>
  <c r="E17" i="2"/>
  <c r="E44" i="2"/>
  <c r="E23" i="2"/>
  <c r="E2" i="2"/>
  <c r="D75" i="2" l="1"/>
  <c r="E75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<sst xmlns="http://schemas.openxmlformats.org/spreadsheetml/2006/main" count="379" uniqueCount="137">
  <si>
    <t xml:space="preserve">Dienstgrad </t>
  </si>
  <si>
    <t>Name</t>
  </si>
  <si>
    <t xml:space="preserve">Oberleutnant </t>
  </si>
  <si>
    <t>Leutnant</t>
  </si>
  <si>
    <t>Unterfeldwebel</t>
  </si>
  <si>
    <t>Unteroffizier</t>
  </si>
  <si>
    <t>Stabsgefreiter</t>
  </si>
  <si>
    <t>Obergefreiter</t>
  </si>
  <si>
    <t>Gefreiter</t>
  </si>
  <si>
    <t>Obergrenadier</t>
  </si>
  <si>
    <t>Panzergrenadier</t>
  </si>
  <si>
    <t>Panzergrenadier-AW</t>
  </si>
  <si>
    <t xml:space="preserve">Anwerber </t>
  </si>
  <si>
    <t xml:space="preserve">Nummer </t>
  </si>
  <si>
    <t>Datum der letzten Beförderung</t>
  </si>
  <si>
    <t>GT</t>
  </si>
  <si>
    <t>Dienstgradstufe</t>
  </si>
  <si>
    <t>Anwerber</t>
  </si>
  <si>
    <t>Oberstleutnant</t>
  </si>
  <si>
    <t>Oberst</t>
  </si>
  <si>
    <t>Dienstgrad</t>
  </si>
  <si>
    <t>Beförderungsschwelle</t>
  </si>
  <si>
    <t>Oberfeldwebel</t>
  </si>
  <si>
    <t>Feldwebel</t>
  </si>
  <si>
    <t>Stabsfeldwebel</t>
  </si>
  <si>
    <t>Hauptmann</t>
  </si>
  <si>
    <t>Major</t>
  </si>
  <si>
    <t>Mannschaft</t>
  </si>
  <si>
    <t>Offizier</t>
  </si>
  <si>
    <t>Führungsoffizier</t>
  </si>
  <si>
    <t xml:space="preserve">Anzahl der teilgenommenen Gefechte </t>
  </si>
  <si>
    <t>Beförderungsschwelle erreicht?</t>
  </si>
  <si>
    <t>Schwelle erreicht?</t>
  </si>
  <si>
    <t>Summe
(Seit der letzten Beförderung)</t>
  </si>
  <si>
    <t>Anwesenheitsquote
(Seit der letzten Beförderung)</t>
  </si>
  <si>
    <t>Summe
(gesamt)</t>
  </si>
  <si>
    <t>Anwesenheitsquote
(gesamt)</t>
  </si>
  <si>
    <t>CW</t>
  </si>
  <si>
    <t>Jemand</t>
  </si>
  <si>
    <t xml:space="preserve">Kamerad erfüllt Dienstzeit + Gefechte </t>
  </si>
  <si>
    <t>GT/CW als Kommander geführt</t>
  </si>
  <si>
    <t>GT/CW als Truppführer geführt</t>
  </si>
  <si>
    <t>Schnellinformation bzgl Vorgabenstatus der Unteroffiziere</t>
  </si>
  <si>
    <t>Achi</t>
  </si>
  <si>
    <t>geführte Gefechte als Kommandant</t>
  </si>
  <si>
    <t>geführte Gefechte als Offizier</t>
  </si>
  <si>
    <t>angemeldet aber nicht erschienen</t>
  </si>
  <si>
    <t>Li (Rieger)</t>
  </si>
  <si>
    <t>Thor</t>
  </si>
  <si>
    <t>CW/Event</t>
  </si>
  <si>
    <t>Datum Vollmitglied</t>
  </si>
  <si>
    <t>Ares</t>
  </si>
  <si>
    <t>Hahnus</t>
  </si>
  <si>
    <t>Kesch</t>
  </si>
  <si>
    <t>Abfall</t>
  </si>
  <si>
    <t>RuhigerMC</t>
  </si>
  <si>
    <t>Thorsson</t>
  </si>
  <si>
    <t>Benedetto</t>
  </si>
  <si>
    <t>Bestatter</t>
  </si>
  <si>
    <t>Fabse</t>
  </si>
  <si>
    <t>Jubi</t>
  </si>
  <si>
    <t>Boogy</t>
  </si>
  <si>
    <t>Taube</t>
  </si>
  <si>
    <t>Grilli</t>
  </si>
  <si>
    <t>Fuenning</t>
  </si>
  <si>
    <t>Vegas</t>
  </si>
  <si>
    <t>Boo</t>
  </si>
  <si>
    <t>Dudek</t>
  </si>
  <si>
    <t>High</t>
  </si>
  <si>
    <t>Richunter</t>
  </si>
  <si>
    <t>Hades</t>
  </si>
  <si>
    <t>Buffi</t>
  </si>
  <si>
    <t>Kippe</t>
  </si>
  <si>
    <t>Ghost</t>
  </si>
  <si>
    <t>Tippy</t>
  </si>
  <si>
    <t>Allein</t>
  </si>
  <si>
    <t>Kamarad</t>
  </si>
  <si>
    <t>Heizer</t>
  </si>
  <si>
    <t>Seez</t>
  </si>
  <si>
    <t>Nik</t>
  </si>
  <si>
    <t>Komi</t>
  </si>
  <si>
    <t>Mauz</t>
  </si>
  <si>
    <t>Coolrun</t>
  </si>
  <si>
    <t>AW Zeit Ende</t>
  </si>
  <si>
    <t>GA abgeschlossen</t>
  </si>
  <si>
    <t>Nein</t>
  </si>
  <si>
    <t>Aktivität</t>
  </si>
  <si>
    <t>Spalte1</t>
  </si>
  <si>
    <t>Eiben</t>
  </si>
  <si>
    <t>Kanbach</t>
  </si>
  <si>
    <t>Splinter</t>
  </si>
  <si>
    <t>Bracke</t>
  </si>
  <si>
    <t>Sumpfi</t>
  </si>
  <si>
    <t>Erzengel</t>
  </si>
  <si>
    <t>Schulli</t>
  </si>
  <si>
    <t>Witewitt</t>
  </si>
  <si>
    <t>Flinnch</t>
  </si>
  <si>
    <t>Chickn</t>
  </si>
  <si>
    <t>Marc</t>
  </si>
  <si>
    <t>Nter</t>
  </si>
  <si>
    <t>Ason</t>
  </si>
  <si>
    <t>Zinkken</t>
  </si>
  <si>
    <t>Dose</t>
  </si>
  <si>
    <t>Miho</t>
  </si>
  <si>
    <t>Psyco</t>
  </si>
  <si>
    <t>Jerry</t>
  </si>
  <si>
    <t>Heinrich</t>
  </si>
  <si>
    <t>Andi</t>
  </si>
  <si>
    <t>Posthuman</t>
  </si>
  <si>
    <t>Nachtauge</t>
  </si>
  <si>
    <t>Zylo</t>
  </si>
  <si>
    <t>Bomber</t>
  </si>
  <si>
    <t>Sydia</t>
  </si>
  <si>
    <t>Wohin</t>
  </si>
  <si>
    <t>Tornado</t>
  </si>
  <si>
    <t>Mousse</t>
  </si>
  <si>
    <t>Rapmar</t>
  </si>
  <si>
    <t>Patler</t>
  </si>
  <si>
    <t>JMeister</t>
  </si>
  <si>
    <t>Lucas</t>
  </si>
  <si>
    <t>Jonesy</t>
  </si>
  <si>
    <t>Schabo</t>
  </si>
  <si>
    <t>Bismark</t>
  </si>
  <si>
    <t>Ü CW 7DR</t>
  </si>
  <si>
    <t>Liga 1</t>
  </si>
  <si>
    <t>ZerOS</t>
  </si>
  <si>
    <t>Dominus</t>
  </si>
  <si>
    <t>Mecke</t>
  </si>
  <si>
    <t>CptIglo</t>
  </si>
  <si>
    <t>Liga</t>
  </si>
  <si>
    <t>Vorlage</t>
  </si>
  <si>
    <t>Snowy</t>
  </si>
  <si>
    <t>Brandt</t>
  </si>
  <si>
    <t>Yeti</t>
  </si>
  <si>
    <t>Herbert</t>
  </si>
  <si>
    <t>Lutz</t>
  </si>
  <si>
    <t>EULiga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</si>
</sst>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8" tint="0.7999816888943144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FF0000"/>
      </right>
      <top/>
      <bottom/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2" fillId="2" borderId="3" xfId="0" applyFont="1" applyFill="1" applyBorder="1"/>
    <xf numFmtId="0" fontId="0" fillId="0" borderId="0" xfId="0" applyAlignment="1">
      <alignment horizontal="center" vertical="center"/>
    </xf>
    <xf numFmtId="1" fontId="2" fillId="2" borderId="2" xfId="0" applyNumberFormat="1" applyFont="1" applyFill="1" applyBorder="1"/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0" fontId="0" fillId="3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5" fillId="6" borderId="0" xfId="0" applyFont="1" applyFill="1"/>
    <xf numFmtId="0" fontId="7" fillId="6" borderId="0" xfId="0" applyFont="1" applyFill="1"/>
    <xf numFmtId="0" fontId="0" fillId="4" borderId="1" xfId="0" applyFill="1" applyBorder="1"/>
    <xf numFmtId="0" fontId="5" fillId="0" borderId="0" xfId="0" applyFont="1"/>
    <xf numFmtId="14" fontId="0" fillId="3" borderId="1" xfId="0" applyNumberFormat="1" applyFill="1" applyBorder="1"/>
    <xf numFmtId="0" fontId="5" fillId="6" borderId="1" xfId="0" applyFont="1" applyFill="1" applyBorder="1"/>
    <xf numFmtId="0" fontId="0" fillId="10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" fontId="0" fillId="4" borderId="1" xfId="0" applyNumberFormat="1" applyFill="1" applyBorder="1"/>
    <xf numFmtId="14" fontId="6" fillId="6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164" fontId="0" fillId="4" borderId="1" xfId="1" applyNumberFormat="1" applyFont="1" applyFill="1" applyBorder="1"/>
    <xf numFmtId="1" fontId="4" fillId="4" borderId="1" xfId="0" applyNumberFormat="1" applyFont="1" applyFill="1" applyBorder="1" applyAlignment="1">
      <alignment horizontal="center"/>
    </xf>
    <xf numFmtId="0" fontId="7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7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8" fillId="6" borderId="0" xfId="0" applyFont="1" applyFill="1" applyAlignment="1">
      <alignment vertical="center"/>
    </xf>
    <xf numFmtId="1" fontId="4" fillId="0" borderId="0" xfId="0" applyNumberFormat="1" applyFont="1"/>
    <xf numFmtId="0" fontId="6" fillId="6" borderId="5" xfId="0" applyFont="1" applyFill="1" applyBorder="1" applyAlignment="1">
      <alignment vertical="center"/>
    </xf>
    <xf numFmtId="0" fontId="0" fillId="3" borderId="6" xfId="0" applyFill="1" applyBorder="1"/>
    <xf numFmtId="0" fontId="5" fillId="6" borderId="5" xfId="0" applyFont="1" applyFill="1" applyBorder="1"/>
    <xf numFmtId="14" fontId="0" fillId="3" borderId="4" xfId="0" applyNumberFormat="1" applyFill="1" applyBorder="1"/>
    <xf numFmtId="0" fontId="0" fillId="11" borderId="0" xfId="0" applyFill="1"/>
    <xf numFmtId="0" fontId="0" fillId="13" borderId="0" xfId="0" applyFill="1"/>
    <xf numFmtId="0" fontId="0" fillId="12" borderId="0" xfId="0" applyFill="1"/>
    <xf numFmtId="0" fontId="0" fillId="14" borderId="0" xfId="0" applyFill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3" borderId="4" xfId="0" applyFill="1" applyBorder="1"/>
    <xf numFmtId="0" fontId="0" fillId="14" borderId="1" xfId="0" applyFill="1" applyBorder="1" applyAlignment="1">
      <alignment horizontal="right"/>
    </xf>
    <xf numFmtId="9" fontId="0" fillId="14" borderId="10" xfId="1" applyFont="1" applyFill="1" applyBorder="1"/>
    <xf numFmtId="9" fontId="0" fillId="0" borderId="10" xfId="1" applyFont="1" applyBorder="1"/>
    <xf numFmtId="0" fontId="0" fillId="3" borderId="11" xfId="0" applyFill="1" applyBorder="1"/>
    <xf numFmtId="0" fontId="0" fillId="3" borderId="12" xfId="0" applyFill="1" applyBorder="1"/>
    <xf numFmtId="14" fontId="0" fillId="3" borderId="12" xfId="0" applyNumberFormat="1" applyFill="1" applyBorder="1"/>
    <xf numFmtId="0" fontId="0" fillId="14" borderId="12" xfId="0" applyFill="1" applyBorder="1" applyAlignment="1">
      <alignment horizontal="right"/>
    </xf>
    <xf numFmtId="9" fontId="0" fillId="0" borderId="13" xfId="1" applyFont="1" applyBorder="1"/>
    <xf numFmtId="0" fontId="0" fillId="0" borderId="1" xfId="0" applyBorder="1"/>
    <xf numFmtId="0" fontId="0" fillId="0" borderId="0" xfId="0" applyAlignment="1">
      <alignment horizontal="center"/>
    </xf>
  </cellXfs>
  <cellStyles count="2">
    <cellStyle name="Prozent" xfId="1" builtinId="5"/>
    <cellStyle name="Standard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elle2" displayName="Tabelle2" ref="A1:E101" totalsRowShown="0">
  <autoFilter ref="A1:E101"/>
  <tableColumns count="5">
    <tableColumn id="1" name="Nummer " dataDxfId="13"/>
    <tableColumn id="2" name="Dienstgrad " dataDxfId="12">
      <calculatedColumnFormula>Dateneingabe!#REF!</calculatedColumnFormula>
    </tableColumn>
    <tableColumn id="3" name="Name" dataDxfId="11">
      <calculatedColumnFormula>Dateneingabe!#REF!</calculatedColumnFormula>
    </tableColumn>
    <tableColumn id="4" name="Anzahl der teilgenommenen Gefechte " dataDxfId="10">
      <calculatedColumnFormula>Dateneingabe!#REF!</calculatedColumnFormula>
    </tableColumn>
    <tableColumn id="5" name="Beförderungsschwelle erreicht?" dataDxfId="9">
      <calculatedColumnFormula>Dateneingabe!#REF!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Tabelle1" displayName="Tabelle1" ref="B2:F63" totalsRowShown="0" headerRowDxfId="8" headerRowBorderDxfId="7" tableBorderDxfId="6" totalsRowBorderDxfId="5">
  <autoFilter ref="B2:F63"/>
  <tableColumns count="5">
    <tableColumn id="1" name="Anwerber " dataDxfId="4"/>
    <tableColumn id="2" name="Spalte1" dataDxfId="3"/>
    <tableColumn id="3" name="AW Zeit Ende" dataDxfId="2"/>
    <tableColumn id="4" name="GA abgeschlossen" dataDxfId="1"/>
    <tableColumn id="5" name="Aktivität" dataDxfId="0" dataCellStyle="Proz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J101"/>
  <sheetViews>
    <sheetView workbookViewId="0">
      <selection activeCell="G5" sqref="G5"/>
    </sheetView>
  </sheetViews>
  <sheetFormatPr baseColWidth="10" defaultRowHeight="15" x14ac:dyDescent="0.25"/>
  <cols>
    <col min="1" max="1" width="11.5703125" style="5" bestFit="1" customWidth="1"/>
    <col min="2" max="2" width="19.5703125" bestFit="1" customWidth="1"/>
    <col min="3" max="3" width="10.28515625" bestFit="1" customWidth="1"/>
    <col min="4" max="4" width="35.42578125" bestFit="1" customWidth="1"/>
    <col min="5" max="5" width="37.28515625" bestFit="1" customWidth="1"/>
    <col min="6" max="6" width="10.28515625" customWidth="1"/>
    <col min="10" max="10" width="56.7109375" customWidth="1"/>
  </cols>
  <sheetData>
    <row r="1" spans="1:10" x14ac:dyDescent="0.25">
      <c r="A1" s="3" t="s">
        <v>13</v>
      </c>
      <c r="B1" s="1" t="s">
        <v>0</v>
      </c>
      <c r="C1" s="1" t="s">
        <v>1</v>
      </c>
      <c r="D1" t="s">
        <v>30</v>
      </c>
      <c r="E1" s="22" t="s">
        <v>31</v>
      </c>
    </row>
    <row r="2" spans="1:10" ht="14.45" x14ac:dyDescent="0.3">
      <c r="A2" s="4">
        <v>1</v>
      </c>
      <c r="B2" s="53" t="e">
        <f>Dateneingabe!#REF!</f>
        <v>#REF!</v>
      </c>
      <c r="C2" s="53" t="e">
        <f>Dateneingabe!#REF!</f>
        <v>#REF!</v>
      </c>
      <c r="D2" s="2" t="e">
        <f>Dateneingabe!#REF!</f>
        <v>#REF!</v>
      </c>
      <c r="E2" s="31" t="e">
        <f>Dateneingabe!#REF!</f>
        <v>#REF!</v>
      </c>
      <c r="J2" t="s">
        <v>42</v>
      </c>
    </row>
    <row r="3" spans="1:10" x14ac:dyDescent="0.25">
      <c r="A3" s="4">
        <v>2</v>
      </c>
      <c r="B3" s="53" t="e">
        <f>Dateneingabe!#REF!</f>
        <v>#REF!</v>
      </c>
      <c r="C3" s="53" t="e">
        <f>Dateneingabe!#REF!</f>
        <v>#REF!</v>
      </c>
      <c r="D3" s="2" t="e">
        <f>Dateneingabe!#REF!</f>
        <v>#REF!</v>
      </c>
      <c r="E3" s="31" t="e">
        <f>Dateneingabe!#REF!</f>
        <v>#REF!</v>
      </c>
      <c r="I3" s="37"/>
      <c r="J3" t="s">
        <v>39</v>
      </c>
    </row>
    <row r="4" spans="1:10" x14ac:dyDescent="0.25">
      <c r="A4" s="4">
        <v>3</v>
      </c>
      <c r="B4" s="53" t="e">
        <f>Dateneingabe!#REF!</f>
        <v>#REF!</v>
      </c>
      <c r="C4" s="53" t="e">
        <f>Dateneingabe!#REF!</f>
        <v>#REF!</v>
      </c>
      <c r="D4" s="2" t="e">
        <f>Dateneingabe!#REF!</f>
        <v>#REF!</v>
      </c>
      <c r="E4" s="31" t="e">
        <f>Dateneingabe!#REF!</f>
        <v>#REF!</v>
      </c>
      <c r="I4" s="38"/>
      <c r="J4" t="s">
        <v>40</v>
      </c>
    </row>
    <row r="5" spans="1:10" x14ac:dyDescent="0.25">
      <c r="A5" s="4">
        <v>4</v>
      </c>
      <c r="B5" s="53" t="e">
        <f>Dateneingabe!#REF!</f>
        <v>#REF!</v>
      </c>
      <c r="C5" s="53" t="e">
        <f>Dateneingabe!#REF!</f>
        <v>#REF!</v>
      </c>
      <c r="D5" s="2" t="e">
        <f>Dateneingabe!#REF!</f>
        <v>#REF!</v>
      </c>
      <c r="E5" s="31" t="e">
        <f>Dateneingabe!#REF!</f>
        <v>#REF!</v>
      </c>
      <c r="I5" s="36"/>
      <c r="J5" t="s">
        <v>41</v>
      </c>
    </row>
    <row r="6" spans="1:10" ht="14.45" x14ac:dyDescent="0.3">
      <c r="A6" s="4">
        <v>5</v>
      </c>
      <c r="B6" s="53" t="e">
        <f>Dateneingabe!#REF!</f>
        <v>#REF!</v>
      </c>
      <c r="C6" s="53" t="e">
        <f>Dateneingabe!#REF!</f>
        <v>#REF!</v>
      </c>
      <c r="D6" s="2" t="e">
        <f>Dateneingabe!#REF!</f>
        <v>#REF!</v>
      </c>
      <c r="E6" s="31" t="e">
        <f>Dateneingabe!#REF!</f>
        <v>#REF!</v>
      </c>
    </row>
    <row r="7" spans="1:10" ht="14.45" x14ac:dyDescent="0.3">
      <c r="A7" s="4">
        <v>6</v>
      </c>
      <c r="B7" s="53" t="e">
        <f>Dateneingabe!#REF!</f>
        <v>#REF!</v>
      </c>
      <c r="C7" s="53" t="e">
        <f>Dateneingabe!#REF!</f>
        <v>#REF!</v>
      </c>
      <c r="D7" s="2" t="e">
        <f>Dateneingabe!#REF!</f>
        <v>#REF!</v>
      </c>
      <c r="E7" s="31" t="e">
        <f>Dateneingabe!#REF!</f>
        <v>#REF!</v>
      </c>
    </row>
    <row r="8" spans="1:10" ht="14.45" x14ac:dyDescent="0.3">
      <c r="A8" s="4">
        <v>7</v>
      </c>
      <c r="B8" s="53" t="e">
        <f>Dateneingabe!#REF!</f>
        <v>#REF!</v>
      </c>
      <c r="C8" s="53" t="e">
        <f>Dateneingabe!#REF!</f>
        <v>#REF!</v>
      </c>
      <c r="D8" s="2" t="e">
        <f>Dateneingabe!#REF!</f>
        <v>#REF!</v>
      </c>
      <c r="E8" s="31" t="e">
        <f>Dateneingabe!#REF!</f>
        <v>#REF!</v>
      </c>
    </row>
    <row r="9" spans="1:10" ht="14.45" x14ac:dyDescent="0.3">
      <c r="A9" s="4">
        <v>8</v>
      </c>
      <c r="B9" s="53" t="e">
        <f>Dateneingabe!#REF!</f>
        <v>#REF!</v>
      </c>
      <c r="C9" s="53" t="e">
        <f>Dateneingabe!#REF!</f>
        <v>#REF!</v>
      </c>
      <c r="D9" s="2" t="e">
        <f>Dateneingabe!#REF!</f>
        <v>#REF!</v>
      </c>
      <c r="E9" s="31" t="e">
        <f>Dateneingabe!#REF!</f>
        <v>#REF!</v>
      </c>
    </row>
    <row r="10" spans="1:10" ht="14.45" x14ac:dyDescent="0.3">
      <c r="A10" s="4">
        <v>9</v>
      </c>
      <c r="B10" s="53" t="e">
        <f>Dateneingabe!#REF!</f>
        <v>#REF!</v>
      </c>
      <c r="C10" s="53" t="e">
        <f>Dateneingabe!#REF!</f>
        <v>#REF!</v>
      </c>
      <c r="D10" s="2" t="e">
        <f>Dateneingabe!#REF!</f>
        <v>#REF!</v>
      </c>
      <c r="E10" s="31" t="e">
        <f>Dateneingabe!#REF!</f>
        <v>#REF!</v>
      </c>
    </row>
    <row r="11" spans="1:10" ht="14.45" x14ac:dyDescent="0.3">
      <c r="A11" s="4">
        <v>10</v>
      </c>
      <c r="B11" s="53" t="e">
        <f>Dateneingabe!#REF!</f>
        <v>#REF!</v>
      </c>
      <c r="C11" s="53" t="e">
        <f>Dateneingabe!#REF!</f>
        <v>#REF!</v>
      </c>
      <c r="D11" s="2" t="e">
        <f>Dateneingabe!#REF!</f>
        <v>#REF!</v>
      </c>
      <c r="E11" s="31" t="e">
        <f>Dateneingabe!#REF!</f>
        <v>#REF!</v>
      </c>
    </row>
    <row r="12" spans="1:10" ht="14.45" x14ac:dyDescent="0.3">
      <c r="A12" s="4">
        <v>11</v>
      </c>
      <c r="B12" s="53" t="e">
        <f>Dateneingabe!#REF!</f>
        <v>#REF!</v>
      </c>
      <c r="C12" s="53" t="e">
        <f>Dateneingabe!#REF!</f>
        <v>#REF!</v>
      </c>
      <c r="D12" s="2" t="e">
        <f>Dateneingabe!#REF!</f>
        <v>#REF!</v>
      </c>
      <c r="E12" s="31" t="e">
        <f>Dateneingabe!#REF!</f>
        <v>#REF!</v>
      </c>
    </row>
    <row r="13" spans="1:10" ht="14.45" x14ac:dyDescent="0.3">
      <c r="A13" s="4">
        <v>12</v>
      </c>
      <c r="B13" s="53" t="e">
        <f>Dateneingabe!#REF!</f>
        <v>#REF!</v>
      </c>
      <c r="C13" s="53" t="e">
        <f>Dateneingabe!#REF!</f>
        <v>#REF!</v>
      </c>
      <c r="D13" s="2" t="e">
        <f>Dateneingabe!#REF!</f>
        <v>#REF!</v>
      </c>
      <c r="E13" s="31" t="e">
        <f>Dateneingabe!#REF!</f>
        <v>#REF!</v>
      </c>
    </row>
    <row r="14" spans="1:10" ht="14.45" x14ac:dyDescent="0.3">
      <c r="A14" s="4">
        <v>13</v>
      </c>
      <c r="B14" s="53" t="e">
        <f>Dateneingabe!#REF!</f>
        <v>#REF!</v>
      </c>
      <c r="C14" s="53" t="e">
        <f>Dateneingabe!#REF!</f>
        <v>#REF!</v>
      </c>
      <c r="D14" s="2" t="e">
        <f>Dateneingabe!#REF!</f>
        <v>#REF!</v>
      </c>
      <c r="E14" s="31" t="e">
        <f>Dateneingabe!#REF!</f>
        <v>#REF!</v>
      </c>
    </row>
    <row r="15" spans="1:10" ht="14.45" x14ac:dyDescent="0.3">
      <c r="A15" s="4">
        <v>14</v>
      </c>
      <c r="B15" s="53" t="e">
        <f>Dateneingabe!#REF!</f>
        <v>#REF!</v>
      </c>
      <c r="C15" s="53" t="e">
        <f>Dateneingabe!#REF!</f>
        <v>#REF!</v>
      </c>
      <c r="D15" s="2" t="e">
        <f>Dateneingabe!#REF!</f>
        <v>#REF!</v>
      </c>
      <c r="E15" s="31" t="e">
        <f>Dateneingabe!#REF!</f>
        <v>#REF!</v>
      </c>
    </row>
    <row r="16" spans="1:10" ht="14.45" x14ac:dyDescent="0.3">
      <c r="A16" s="4">
        <v>15</v>
      </c>
      <c r="B16" s="53" t="e">
        <f>Dateneingabe!#REF!</f>
        <v>#REF!</v>
      </c>
      <c r="C16" s="53" t="e">
        <f>Dateneingabe!#REF!</f>
        <v>#REF!</v>
      </c>
      <c r="D16" s="2" t="e">
        <f>Dateneingabe!#REF!</f>
        <v>#REF!</v>
      </c>
      <c r="E16" s="31" t="e">
        <f>Dateneingabe!#REF!</f>
        <v>#REF!</v>
      </c>
    </row>
    <row r="17" spans="1:5" ht="14.45" x14ac:dyDescent="0.3">
      <c r="A17" s="4">
        <v>16</v>
      </c>
      <c r="B17" s="53" t="e">
        <f>Dateneingabe!#REF!</f>
        <v>#REF!</v>
      </c>
      <c r="C17" s="53" t="e">
        <f>Dateneingabe!#REF!</f>
        <v>#REF!</v>
      </c>
      <c r="D17" s="2" t="e">
        <f>Dateneingabe!#REF!</f>
        <v>#REF!</v>
      </c>
      <c r="E17" s="31" t="e">
        <f>Dateneingabe!#REF!</f>
        <v>#REF!</v>
      </c>
    </row>
    <row r="18" spans="1:5" ht="14.45" x14ac:dyDescent="0.3">
      <c r="A18" s="4">
        <v>17</v>
      </c>
      <c r="B18" s="53" t="e">
        <f>Dateneingabe!#REF!</f>
        <v>#REF!</v>
      </c>
      <c r="C18" s="53" t="e">
        <f>Dateneingabe!#REF!</f>
        <v>#REF!</v>
      </c>
      <c r="D18" s="2" t="e">
        <f>Dateneingabe!#REF!</f>
        <v>#REF!</v>
      </c>
      <c r="E18" s="31" t="e">
        <f>Dateneingabe!#REF!</f>
        <v>#REF!</v>
      </c>
    </row>
    <row r="19" spans="1:5" ht="14.45" x14ac:dyDescent="0.3">
      <c r="A19" s="4">
        <v>18</v>
      </c>
      <c r="B19" s="53" t="e">
        <f>Dateneingabe!#REF!</f>
        <v>#REF!</v>
      </c>
      <c r="C19" s="53" t="e">
        <f>Dateneingabe!#REF!</f>
        <v>#REF!</v>
      </c>
      <c r="D19" s="2" t="e">
        <f>Dateneingabe!#REF!</f>
        <v>#REF!</v>
      </c>
      <c r="E19" s="31" t="e">
        <f>Dateneingabe!#REF!</f>
        <v>#REF!</v>
      </c>
    </row>
    <row r="20" spans="1:5" ht="14.45" x14ac:dyDescent="0.3">
      <c r="A20" s="4">
        <v>19</v>
      </c>
      <c r="B20" s="53" t="e">
        <f>Dateneingabe!#REF!</f>
        <v>#REF!</v>
      </c>
      <c r="C20" s="53" t="e">
        <f>Dateneingabe!#REF!</f>
        <v>#REF!</v>
      </c>
      <c r="D20" s="2" t="e">
        <f>Dateneingabe!#REF!</f>
        <v>#REF!</v>
      </c>
      <c r="E20" s="31" t="e">
        <f>Dateneingabe!#REF!</f>
        <v>#REF!</v>
      </c>
    </row>
    <row r="21" spans="1:5" ht="14.45" x14ac:dyDescent="0.3">
      <c r="A21" s="4">
        <v>20</v>
      </c>
      <c r="B21" s="53" t="e">
        <f>Dateneingabe!#REF!</f>
        <v>#REF!</v>
      </c>
      <c r="C21" s="53" t="e">
        <f>Dateneingabe!#REF!</f>
        <v>#REF!</v>
      </c>
      <c r="D21" s="2" t="e">
        <f>Dateneingabe!#REF!</f>
        <v>#REF!</v>
      </c>
      <c r="E21" s="31" t="e">
        <f>Dateneingabe!#REF!</f>
        <v>#REF!</v>
      </c>
    </row>
    <row r="22" spans="1:5" ht="14.45" x14ac:dyDescent="0.3">
      <c r="A22" s="4">
        <v>21</v>
      </c>
      <c r="B22" s="53" t="e">
        <f>Dateneingabe!#REF!</f>
        <v>#REF!</v>
      </c>
      <c r="C22" s="53" t="e">
        <f>Dateneingabe!#REF!</f>
        <v>#REF!</v>
      </c>
      <c r="D22" s="2" t="e">
        <f>Dateneingabe!#REF!</f>
        <v>#REF!</v>
      </c>
      <c r="E22" s="31" t="e">
        <f>Dateneingabe!#REF!</f>
        <v>#REF!</v>
      </c>
    </row>
    <row r="23" spans="1:5" ht="14.45" x14ac:dyDescent="0.3">
      <c r="A23" s="4">
        <v>22</v>
      </c>
      <c r="B23" s="53" t="e">
        <f>Dateneingabe!#REF!</f>
        <v>#REF!</v>
      </c>
      <c r="C23" s="53" t="e">
        <f>Dateneingabe!#REF!</f>
        <v>#REF!</v>
      </c>
      <c r="D23" s="2" t="e">
        <f>Dateneingabe!#REF!</f>
        <v>#REF!</v>
      </c>
      <c r="E23" s="31" t="e">
        <f>Dateneingabe!#REF!</f>
        <v>#REF!</v>
      </c>
    </row>
    <row r="24" spans="1:5" ht="14.45" x14ac:dyDescent="0.3">
      <c r="A24" s="4">
        <v>23</v>
      </c>
      <c r="B24" s="53" t="e">
        <f>Dateneingabe!#REF!</f>
        <v>#REF!</v>
      </c>
      <c r="C24" s="53" t="e">
        <f>Dateneingabe!#REF!</f>
        <v>#REF!</v>
      </c>
      <c r="D24" s="2" t="e">
        <f>Dateneingabe!#REF!</f>
        <v>#REF!</v>
      </c>
      <c r="E24" s="31" t="e">
        <f>Dateneingabe!#REF!</f>
        <v>#REF!</v>
      </c>
    </row>
    <row r="25" spans="1:5" ht="14.45" x14ac:dyDescent="0.3">
      <c r="A25" s="4">
        <v>24</v>
      </c>
      <c r="B25" s="53" t="e">
        <f>Dateneingabe!#REF!</f>
        <v>#REF!</v>
      </c>
      <c r="C25" s="53" t="e">
        <f>Dateneingabe!#REF!</f>
        <v>#REF!</v>
      </c>
      <c r="D25" s="2" t="e">
        <f>Dateneingabe!#REF!</f>
        <v>#REF!</v>
      </c>
      <c r="E25" s="31" t="e">
        <f>Dateneingabe!#REF!</f>
        <v>#REF!</v>
      </c>
    </row>
    <row r="26" spans="1:5" ht="14.45" x14ac:dyDescent="0.3">
      <c r="A26" s="4">
        <v>25</v>
      </c>
      <c r="B26" s="53" t="e">
        <f>Dateneingabe!#REF!</f>
        <v>#REF!</v>
      </c>
      <c r="C26" s="53" t="e">
        <f>Dateneingabe!#REF!</f>
        <v>#REF!</v>
      </c>
      <c r="D26" s="2" t="e">
        <f>Dateneingabe!#REF!</f>
        <v>#REF!</v>
      </c>
      <c r="E26" s="31" t="e">
        <f>Dateneingabe!#REF!</f>
        <v>#REF!</v>
      </c>
    </row>
    <row r="27" spans="1:5" ht="14.45" x14ac:dyDescent="0.3">
      <c r="A27" s="4">
        <v>26</v>
      </c>
      <c r="B27" s="53" t="e">
        <f>Dateneingabe!#REF!</f>
        <v>#REF!</v>
      </c>
      <c r="C27" s="53" t="e">
        <f>Dateneingabe!#REF!</f>
        <v>#REF!</v>
      </c>
      <c r="D27" s="2" t="e">
        <f>Dateneingabe!#REF!</f>
        <v>#REF!</v>
      </c>
      <c r="E27" s="31" t="e">
        <f>Dateneingabe!#REF!</f>
        <v>#REF!</v>
      </c>
    </row>
    <row r="28" spans="1:5" ht="14.45" x14ac:dyDescent="0.3">
      <c r="A28" s="4">
        <v>27</v>
      </c>
      <c r="B28" s="53" t="e">
        <f>Dateneingabe!#REF!</f>
        <v>#REF!</v>
      </c>
      <c r="C28" s="53" t="e">
        <f>Dateneingabe!#REF!</f>
        <v>#REF!</v>
      </c>
      <c r="D28" s="2" t="e">
        <f>Dateneingabe!#REF!</f>
        <v>#REF!</v>
      </c>
      <c r="E28" s="31" t="e">
        <f>Dateneingabe!#REF!</f>
        <v>#REF!</v>
      </c>
    </row>
    <row r="29" spans="1:5" ht="14.45" x14ac:dyDescent="0.3">
      <c r="A29" s="4">
        <v>28</v>
      </c>
      <c r="B29" s="53" t="e">
        <f>Dateneingabe!#REF!</f>
        <v>#REF!</v>
      </c>
      <c r="C29" s="53" t="e">
        <f>Dateneingabe!#REF!</f>
        <v>#REF!</v>
      </c>
      <c r="D29" s="2" t="e">
        <f>Dateneingabe!#REF!</f>
        <v>#REF!</v>
      </c>
      <c r="E29" s="31" t="e">
        <f>Dateneingabe!#REF!</f>
        <v>#REF!</v>
      </c>
    </row>
    <row r="30" spans="1:5" ht="14.45" x14ac:dyDescent="0.3">
      <c r="A30" s="4">
        <v>29</v>
      </c>
      <c r="B30" s="53" t="e">
        <f>Dateneingabe!#REF!</f>
        <v>#REF!</v>
      </c>
      <c r="C30" s="53" t="e">
        <f>Dateneingabe!#REF!</f>
        <v>#REF!</v>
      </c>
      <c r="D30" s="2" t="e">
        <f>Dateneingabe!#REF!</f>
        <v>#REF!</v>
      </c>
      <c r="E30" s="31" t="e">
        <f>Dateneingabe!#REF!</f>
        <v>#REF!</v>
      </c>
    </row>
    <row r="31" spans="1:5" ht="14.45" x14ac:dyDescent="0.3">
      <c r="A31" s="4">
        <v>30</v>
      </c>
      <c r="B31" s="53" t="e">
        <f>Dateneingabe!#REF!</f>
        <v>#REF!</v>
      </c>
      <c r="C31" s="53" t="e">
        <f>Dateneingabe!#REF!</f>
        <v>#REF!</v>
      </c>
      <c r="D31" s="2" t="e">
        <f>Dateneingabe!#REF!</f>
        <v>#REF!</v>
      </c>
      <c r="E31" s="31" t="e">
        <f>Dateneingabe!#REF!</f>
        <v>#REF!</v>
      </c>
    </row>
    <row r="32" spans="1:5" ht="14.45" x14ac:dyDescent="0.3">
      <c r="A32" s="4">
        <v>31</v>
      </c>
      <c r="B32" s="53" t="e">
        <f>Dateneingabe!#REF!</f>
        <v>#REF!</v>
      </c>
      <c r="C32" s="53" t="e">
        <f>Dateneingabe!#REF!</f>
        <v>#REF!</v>
      </c>
      <c r="D32" s="2" t="e">
        <f>Dateneingabe!#REF!</f>
        <v>#REF!</v>
      </c>
      <c r="E32" s="31" t="e">
        <f>Dateneingabe!#REF!</f>
        <v>#REF!</v>
      </c>
    </row>
    <row r="33" spans="1:5" ht="14.45" x14ac:dyDescent="0.3">
      <c r="A33" s="4">
        <v>32</v>
      </c>
      <c r="B33" s="53" t="e">
        <f>Dateneingabe!#REF!</f>
        <v>#REF!</v>
      </c>
      <c r="C33" s="53" t="e">
        <f>Dateneingabe!#REF!</f>
        <v>#REF!</v>
      </c>
      <c r="D33" s="2" t="e">
        <f>Dateneingabe!#REF!</f>
        <v>#REF!</v>
      </c>
      <c r="E33" s="31" t="e">
        <f>Dateneingabe!#REF!</f>
        <v>#REF!</v>
      </c>
    </row>
    <row r="34" spans="1:5" ht="14.45" x14ac:dyDescent="0.3">
      <c r="A34" s="4">
        <v>33</v>
      </c>
      <c r="B34" s="53" t="e">
        <f>Dateneingabe!#REF!</f>
        <v>#REF!</v>
      </c>
      <c r="C34" s="53" t="e">
        <f>Dateneingabe!#REF!</f>
        <v>#REF!</v>
      </c>
      <c r="D34" s="2" t="e">
        <f>Dateneingabe!#REF!</f>
        <v>#REF!</v>
      </c>
      <c r="E34" s="31" t="e">
        <f>Dateneingabe!#REF!</f>
        <v>#REF!</v>
      </c>
    </row>
    <row r="35" spans="1:5" ht="14.45" x14ac:dyDescent="0.3">
      <c r="A35" s="4">
        <v>34</v>
      </c>
      <c r="B35" s="53" t="e">
        <f>Dateneingabe!#REF!</f>
        <v>#REF!</v>
      </c>
      <c r="C35" s="53" t="e">
        <f>Dateneingabe!#REF!</f>
        <v>#REF!</v>
      </c>
      <c r="D35" s="2" t="e">
        <f>Dateneingabe!#REF!</f>
        <v>#REF!</v>
      </c>
      <c r="E35" s="31" t="e">
        <f>Dateneingabe!#REF!</f>
        <v>#REF!</v>
      </c>
    </row>
    <row r="36" spans="1:5" ht="14.45" x14ac:dyDescent="0.3">
      <c r="A36" s="4">
        <v>35</v>
      </c>
      <c r="B36" s="53" t="e">
        <f>Dateneingabe!#REF!</f>
        <v>#REF!</v>
      </c>
      <c r="C36" s="53" t="e">
        <f>Dateneingabe!#REF!</f>
        <v>#REF!</v>
      </c>
      <c r="D36" s="2" t="e">
        <f>Dateneingabe!#REF!</f>
        <v>#REF!</v>
      </c>
      <c r="E36" s="31" t="e">
        <f>Dateneingabe!#REF!</f>
        <v>#REF!</v>
      </c>
    </row>
    <row r="37" spans="1:5" ht="14.45" x14ac:dyDescent="0.3">
      <c r="A37" s="4">
        <v>36</v>
      </c>
      <c r="B37" s="53" t="e">
        <f>Dateneingabe!#REF!</f>
        <v>#REF!</v>
      </c>
      <c r="C37" s="53" t="e">
        <f>Dateneingabe!#REF!</f>
        <v>#REF!</v>
      </c>
      <c r="D37" s="2" t="e">
        <f>Dateneingabe!#REF!</f>
        <v>#REF!</v>
      </c>
      <c r="E37" s="31" t="e">
        <f>Dateneingabe!#REF!</f>
        <v>#REF!</v>
      </c>
    </row>
    <row r="38" spans="1:5" ht="14.45" x14ac:dyDescent="0.3">
      <c r="A38" s="4">
        <v>37</v>
      </c>
      <c r="B38" s="53" t="e">
        <f>Dateneingabe!#REF!</f>
        <v>#REF!</v>
      </c>
      <c r="C38" s="53" t="e">
        <f>Dateneingabe!#REF!</f>
        <v>#REF!</v>
      </c>
      <c r="D38" s="2" t="e">
        <f>Dateneingabe!#REF!</f>
        <v>#REF!</v>
      </c>
      <c r="E38" s="31" t="e">
        <f>Dateneingabe!#REF!</f>
        <v>#REF!</v>
      </c>
    </row>
    <row r="39" spans="1:5" ht="14.45" x14ac:dyDescent="0.3">
      <c r="A39" s="4">
        <v>38</v>
      </c>
      <c r="B39" s="53" t="e">
        <f>Dateneingabe!#REF!</f>
        <v>#REF!</v>
      </c>
      <c r="C39" s="53" t="e">
        <f>Dateneingabe!#REF!</f>
        <v>#REF!</v>
      </c>
      <c r="D39" s="2" t="e">
        <f>Dateneingabe!#REF!</f>
        <v>#REF!</v>
      </c>
      <c r="E39" s="31" t="e">
        <f>Dateneingabe!#REF!</f>
        <v>#REF!</v>
      </c>
    </row>
    <row r="40" spans="1:5" ht="14.45" x14ac:dyDescent="0.3">
      <c r="A40" s="4">
        <v>39</v>
      </c>
      <c r="B40" s="53" t="e">
        <f>Dateneingabe!#REF!</f>
        <v>#REF!</v>
      </c>
      <c r="C40" s="53" t="e">
        <f>Dateneingabe!#REF!</f>
        <v>#REF!</v>
      </c>
      <c r="D40" s="2" t="e">
        <f>Dateneingabe!#REF!</f>
        <v>#REF!</v>
      </c>
      <c r="E40" s="31" t="e">
        <f>Dateneingabe!#REF!</f>
        <v>#REF!</v>
      </c>
    </row>
    <row r="41" spans="1:5" ht="14.45" x14ac:dyDescent="0.3">
      <c r="A41" s="4">
        <v>40</v>
      </c>
      <c r="B41" s="53" t="e">
        <f>Dateneingabe!#REF!</f>
        <v>#REF!</v>
      </c>
      <c r="C41" s="53" t="e">
        <f>Dateneingabe!#REF!</f>
        <v>#REF!</v>
      </c>
      <c r="D41" s="2" t="e">
        <f>Dateneingabe!#REF!</f>
        <v>#REF!</v>
      </c>
      <c r="E41" s="31" t="e">
        <f>Dateneingabe!#REF!</f>
        <v>#REF!</v>
      </c>
    </row>
    <row r="42" spans="1:5" ht="14.45" x14ac:dyDescent="0.3">
      <c r="A42" s="4">
        <v>41</v>
      </c>
      <c r="B42" s="53" t="e">
        <f>Dateneingabe!#REF!</f>
        <v>#REF!</v>
      </c>
      <c r="C42" s="53" t="e">
        <f>Dateneingabe!#REF!</f>
        <v>#REF!</v>
      </c>
      <c r="D42" s="2" t="e">
        <f>Dateneingabe!#REF!</f>
        <v>#REF!</v>
      </c>
      <c r="E42" s="31" t="e">
        <f>Dateneingabe!#REF!</f>
        <v>#REF!</v>
      </c>
    </row>
    <row r="43" spans="1:5" ht="14.45" x14ac:dyDescent="0.3">
      <c r="A43" s="4">
        <v>42</v>
      </c>
      <c r="B43" s="53" t="e">
        <f>Dateneingabe!#REF!</f>
        <v>#REF!</v>
      </c>
      <c r="C43" s="53" t="e">
        <f>Dateneingabe!#REF!</f>
        <v>#REF!</v>
      </c>
      <c r="D43" s="2" t="e">
        <f>Dateneingabe!#REF!</f>
        <v>#REF!</v>
      </c>
      <c r="E43" s="31" t="e">
        <f>Dateneingabe!#REF!</f>
        <v>#REF!</v>
      </c>
    </row>
    <row r="44" spans="1:5" x14ac:dyDescent="0.25">
      <c r="A44" s="4">
        <v>43</v>
      </c>
      <c r="B44" s="53" t="e">
        <f>Dateneingabe!#REF!</f>
        <v>#REF!</v>
      </c>
      <c r="C44" s="53" t="e">
        <f>Dateneingabe!#REF!</f>
        <v>#REF!</v>
      </c>
      <c r="D44" s="2" t="e">
        <f>Dateneingabe!#REF!</f>
        <v>#REF!</v>
      </c>
      <c r="E44" s="31" t="e">
        <f>Dateneingabe!#REF!</f>
        <v>#REF!</v>
      </c>
    </row>
    <row r="45" spans="1:5" x14ac:dyDescent="0.25">
      <c r="A45" s="4">
        <v>44</v>
      </c>
      <c r="B45" s="53" t="e">
        <f>Dateneingabe!#REF!</f>
        <v>#REF!</v>
      </c>
      <c r="C45" s="53" t="e">
        <f>Dateneingabe!#REF!</f>
        <v>#REF!</v>
      </c>
      <c r="D45" s="2" t="e">
        <f>Dateneingabe!#REF!</f>
        <v>#REF!</v>
      </c>
      <c r="E45" s="31" t="e">
        <f>Dateneingabe!#REF!</f>
        <v>#REF!</v>
      </c>
    </row>
    <row r="46" spans="1:5" x14ac:dyDescent="0.25">
      <c r="A46" s="4">
        <v>45</v>
      </c>
      <c r="B46" s="53" t="e">
        <f>Dateneingabe!#REF!</f>
        <v>#REF!</v>
      </c>
      <c r="C46" s="53" t="e">
        <f>Dateneingabe!#REF!</f>
        <v>#REF!</v>
      </c>
      <c r="D46" s="2" t="e">
        <f>Dateneingabe!#REF!</f>
        <v>#REF!</v>
      </c>
      <c r="E46" s="31" t="e">
        <f>Dateneingabe!#REF!</f>
        <v>#REF!</v>
      </c>
    </row>
    <row r="47" spans="1:5" x14ac:dyDescent="0.25">
      <c r="A47" s="4">
        <v>46</v>
      </c>
      <c r="B47" s="53" t="e">
        <f>Dateneingabe!#REF!</f>
        <v>#REF!</v>
      </c>
      <c r="C47" s="53" t="e">
        <f>Dateneingabe!#REF!</f>
        <v>#REF!</v>
      </c>
      <c r="D47" s="2" t="e">
        <f>Dateneingabe!#REF!</f>
        <v>#REF!</v>
      </c>
      <c r="E47" s="31" t="e">
        <f>Dateneingabe!#REF!</f>
        <v>#REF!</v>
      </c>
    </row>
    <row r="48" spans="1:5" x14ac:dyDescent="0.25">
      <c r="A48" s="4">
        <v>47</v>
      </c>
      <c r="B48" s="53" t="e">
        <f>Dateneingabe!#REF!</f>
        <v>#REF!</v>
      </c>
      <c r="C48" s="53" t="e">
        <f>Dateneingabe!#REF!</f>
        <v>#REF!</v>
      </c>
      <c r="D48" s="2" t="e">
        <f>Dateneingabe!#REF!</f>
        <v>#REF!</v>
      </c>
      <c r="E48" s="31" t="e">
        <f>Dateneingabe!#REF!</f>
        <v>#REF!</v>
      </c>
    </row>
    <row r="49" spans="1:5" x14ac:dyDescent="0.25">
      <c r="A49" s="4">
        <v>48</v>
      </c>
      <c r="B49" s="53" t="e">
        <f>Dateneingabe!#REF!</f>
        <v>#REF!</v>
      </c>
      <c r="C49" s="53" t="e">
        <f>Dateneingabe!#REF!</f>
        <v>#REF!</v>
      </c>
      <c r="D49" s="2" t="e">
        <f>Dateneingabe!#REF!</f>
        <v>#REF!</v>
      </c>
      <c r="E49" s="31" t="e">
        <f>Dateneingabe!#REF!</f>
        <v>#REF!</v>
      </c>
    </row>
    <row r="50" spans="1:5" x14ac:dyDescent="0.25">
      <c r="A50" s="4">
        <v>49</v>
      </c>
      <c r="B50" s="53" t="e">
        <f>Dateneingabe!#REF!</f>
        <v>#REF!</v>
      </c>
      <c r="C50" s="53" t="e">
        <f>Dateneingabe!#REF!</f>
        <v>#REF!</v>
      </c>
      <c r="D50" s="2" t="e">
        <f>Dateneingabe!#REF!</f>
        <v>#REF!</v>
      </c>
      <c r="E50" s="31" t="e">
        <f>Dateneingabe!#REF!</f>
        <v>#REF!</v>
      </c>
    </row>
    <row r="51" spans="1:5" x14ac:dyDescent="0.25">
      <c r="A51" s="4">
        <v>50</v>
      </c>
      <c r="B51" s="53" t="e">
        <f>Dateneingabe!#REF!</f>
        <v>#REF!</v>
      </c>
      <c r="C51" s="53" t="e">
        <f>Dateneingabe!#REF!</f>
        <v>#REF!</v>
      </c>
      <c r="D51" s="2" t="e">
        <f>Dateneingabe!#REF!</f>
        <v>#REF!</v>
      </c>
      <c r="E51" s="31" t="e">
        <f>Dateneingabe!#REF!</f>
        <v>#REF!</v>
      </c>
    </row>
    <row r="52" spans="1:5" x14ac:dyDescent="0.25">
      <c r="A52" s="4">
        <v>51</v>
      </c>
      <c r="B52" s="53" t="e">
        <f>Dateneingabe!#REF!</f>
        <v>#REF!</v>
      </c>
      <c r="C52" s="53" t="e">
        <f>Dateneingabe!#REF!</f>
        <v>#REF!</v>
      </c>
      <c r="D52" s="2" t="e">
        <f>Dateneingabe!#REF!</f>
        <v>#REF!</v>
      </c>
      <c r="E52" s="31" t="e">
        <f>Dateneingabe!#REF!</f>
        <v>#REF!</v>
      </c>
    </row>
    <row r="53" spans="1:5" x14ac:dyDescent="0.25">
      <c r="A53" s="4">
        <v>52</v>
      </c>
      <c r="B53" s="53" t="e">
        <f>Dateneingabe!#REF!</f>
        <v>#REF!</v>
      </c>
      <c r="C53" s="53" t="e">
        <f>Dateneingabe!#REF!</f>
        <v>#REF!</v>
      </c>
      <c r="D53" s="2" t="e">
        <f>Dateneingabe!#REF!</f>
        <v>#REF!</v>
      </c>
      <c r="E53" s="31" t="e">
        <f>Dateneingabe!#REF!</f>
        <v>#REF!</v>
      </c>
    </row>
    <row r="54" spans="1:5" x14ac:dyDescent="0.25">
      <c r="A54" s="4">
        <v>53</v>
      </c>
      <c r="B54" s="53" t="e">
        <f>Dateneingabe!#REF!</f>
        <v>#REF!</v>
      </c>
      <c r="C54" s="53" t="e">
        <f>Dateneingabe!#REF!</f>
        <v>#REF!</v>
      </c>
      <c r="D54" s="2" t="e">
        <f>Dateneingabe!#REF!</f>
        <v>#REF!</v>
      </c>
      <c r="E54" s="31" t="e">
        <f>Dateneingabe!#REF!</f>
        <v>#REF!</v>
      </c>
    </row>
    <row r="55" spans="1:5" x14ac:dyDescent="0.25">
      <c r="A55" s="4">
        <v>54</v>
      </c>
      <c r="B55" s="53" t="e">
        <f>Dateneingabe!#REF!</f>
        <v>#REF!</v>
      </c>
      <c r="C55" s="53" t="e">
        <f>Dateneingabe!#REF!</f>
        <v>#REF!</v>
      </c>
      <c r="D55" s="2" t="e">
        <f>Dateneingabe!#REF!</f>
        <v>#REF!</v>
      </c>
      <c r="E55" s="31" t="e">
        <f>Dateneingabe!#REF!</f>
        <v>#REF!</v>
      </c>
    </row>
    <row r="56" spans="1:5" x14ac:dyDescent="0.25">
      <c r="A56" s="4">
        <v>55</v>
      </c>
      <c r="B56" s="53" t="e">
        <f>Dateneingabe!#REF!</f>
        <v>#REF!</v>
      </c>
      <c r="C56" s="53" t="e">
        <f>Dateneingabe!#REF!</f>
        <v>#REF!</v>
      </c>
      <c r="D56" s="2" t="e">
        <f>Dateneingabe!#REF!</f>
        <v>#REF!</v>
      </c>
      <c r="E56" s="31" t="e">
        <f>Dateneingabe!#REF!</f>
        <v>#REF!</v>
      </c>
    </row>
    <row r="57" spans="1:5" x14ac:dyDescent="0.25">
      <c r="A57" s="4">
        <v>56</v>
      </c>
      <c r="B57" s="53" t="e">
        <f>Dateneingabe!#REF!</f>
        <v>#REF!</v>
      </c>
      <c r="C57" s="53" t="e">
        <f>Dateneingabe!#REF!</f>
        <v>#REF!</v>
      </c>
      <c r="D57" s="2" t="e">
        <f>Dateneingabe!#REF!</f>
        <v>#REF!</v>
      </c>
      <c r="E57" s="31" t="e">
        <f>Dateneingabe!#REF!</f>
        <v>#REF!</v>
      </c>
    </row>
    <row r="58" spans="1:5" x14ac:dyDescent="0.25">
      <c r="A58" s="4">
        <v>57</v>
      </c>
      <c r="B58" s="53" t="str">
        <f>Dateneingabe!B3</f>
        <v xml:space="preserve">Anwerber </v>
      </c>
      <c r="C58" s="53" t="str">
        <f>Dateneingabe!C3</f>
        <v>Nachtauge</v>
      </c>
      <c r="D58" s="2">
        <f>Dateneingabe!H3</f>
        <v>11</v>
      </c>
      <c r="E58" s="31" t="str">
        <f>Dateneingabe!G3</f>
        <v/>
      </c>
    </row>
    <row r="59" spans="1:5" x14ac:dyDescent="0.25">
      <c r="A59" s="4">
        <v>58</v>
      </c>
      <c r="B59" s="53" t="str">
        <f>Dateneingabe!B4</f>
        <v xml:space="preserve">Anwerber </v>
      </c>
      <c r="C59" s="53" t="str">
        <f>Dateneingabe!C4</f>
        <v>Zylo</v>
      </c>
      <c r="D59" s="2">
        <f>Dateneingabe!H4</f>
        <v>2</v>
      </c>
      <c r="E59" s="31" t="str">
        <f>Dateneingabe!G4</f>
        <v/>
      </c>
    </row>
    <row r="60" spans="1:5" x14ac:dyDescent="0.25">
      <c r="A60" s="4">
        <v>59</v>
      </c>
      <c r="B60" s="53" t="e">
        <f>Dateneingabe!#REF!</f>
        <v>#REF!</v>
      </c>
      <c r="C60" s="53" t="e">
        <f>Dateneingabe!#REF!</f>
        <v>#REF!</v>
      </c>
      <c r="D60" s="2" t="e">
        <f>Dateneingabe!#REF!</f>
        <v>#REF!</v>
      </c>
      <c r="E60" s="31" t="e">
        <f>Dateneingabe!#REF!</f>
        <v>#REF!</v>
      </c>
    </row>
    <row r="61" spans="1:5" x14ac:dyDescent="0.25">
      <c r="A61" s="4">
        <v>60</v>
      </c>
      <c r="B61" s="53" t="e">
        <f>Dateneingabe!#REF!</f>
        <v>#REF!</v>
      </c>
      <c r="C61" s="53" t="e">
        <f>Dateneingabe!#REF!</f>
        <v>#REF!</v>
      </c>
      <c r="D61" s="2" t="e">
        <f>Dateneingabe!#REF!</f>
        <v>#REF!</v>
      </c>
      <c r="E61" s="31" t="e">
        <f>Dateneingabe!#REF!</f>
        <v>#REF!</v>
      </c>
    </row>
    <row r="62" spans="1:5" x14ac:dyDescent="0.25">
      <c r="A62" s="4">
        <v>61</v>
      </c>
      <c r="B62" s="53" t="e">
        <f>Dateneingabe!#REF!</f>
        <v>#REF!</v>
      </c>
      <c r="C62" s="53" t="e">
        <f>Dateneingabe!#REF!</f>
        <v>#REF!</v>
      </c>
      <c r="D62" s="2" t="e">
        <f>Dateneingabe!#REF!</f>
        <v>#REF!</v>
      </c>
      <c r="E62" s="31" t="e">
        <f>Dateneingabe!#REF!</f>
        <v>#REF!</v>
      </c>
    </row>
    <row r="63" spans="1:5" x14ac:dyDescent="0.25">
      <c r="A63" s="4">
        <v>62</v>
      </c>
      <c r="B63" s="53" t="e">
        <f>Dateneingabe!#REF!</f>
        <v>#REF!</v>
      </c>
      <c r="C63" s="53" t="e">
        <f>Dateneingabe!#REF!</f>
        <v>#REF!</v>
      </c>
      <c r="D63" s="2" t="e">
        <f>Dateneingabe!#REF!</f>
        <v>#REF!</v>
      </c>
      <c r="E63" s="31" t="e">
        <f>Dateneingabe!#REF!</f>
        <v>#REF!</v>
      </c>
    </row>
    <row r="64" spans="1:5" x14ac:dyDescent="0.25">
      <c r="A64" s="4">
        <v>63</v>
      </c>
      <c r="B64" s="53" t="e">
        <f>Dateneingabe!#REF!</f>
        <v>#REF!</v>
      </c>
      <c r="C64" s="53" t="e">
        <f>Dateneingabe!#REF!</f>
        <v>#REF!</v>
      </c>
      <c r="D64" s="2" t="e">
        <f>Dateneingabe!#REF!</f>
        <v>#REF!</v>
      </c>
      <c r="E64" s="31" t="e">
        <f>Dateneingabe!#REF!</f>
        <v>#REF!</v>
      </c>
    </row>
    <row r="65" spans="1:5" x14ac:dyDescent="0.25">
      <c r="A65" s="4">
        <v>64</v>
      </c>
      <c r="B65" s="53" t="e">
        <f>Dateneingabe!#REF!</f>
        <v>#REF!</v>
      </c>
      <c r="C65" s="53" t="e">
        <f>Dateneingabe!#REF!</f>
        <v>#REF!</v>
      </c>
      <c r="D65" s="2" t="e">
        <f>Dateneingabe!#REF!</f>
        <v>#REF!</v>
      </c>
      <c r="E65" s="31" t="e">
        <f>Dateneingabe!#REF!</f>
        <v>#REF!</v>
      </c>
    </row>
    <row r="66" spans="1:5" x14ac:dyDescent="0.25">
      <c r="A66" s="4">
        <v>65</v>
      </c>
      <c r="B66" s="53" t="e">
        <f>Dateneingabe!#REF!</f>
        <v>#REF!</v>
      </c>
      <c r="C66" s="53" t="e">
        <f>Dateneingabe!#REF!</f>
        <v>#REF!</v>
      </c>
      <c r="D66" s="2" t="e">
        <f>Dateneingabe!#REF!</f>
        <v>#REF!</v>
      </c>
      <c r="E66" s="31" t="e">
        <f>Dateneingabe!#REF!</f>
        <v>#REF!</v>
      </c>
    </row>
    <row r="67" spans="1:5" x14ac:dyDescent="0.25">
      <c r="A67" s="4">
        <v>66</v>
      </c>
      <c r="B67" s="53" t="e">
        <f>Dateneingabe!#REF!</f>
        <v>#REF!</v>
      </c>
      <c r="C67" s="53" t="e">
        <f>Dateneingabe!#REF!</f>
        <v>#REF!</v>
      </c>
      <c r="D67" s="2" t="e">
        <f>Dateneingabe!#REF!</f>
        <v>#REF!</v>
      </c>
      <c r="E67" s="31" t="e">
        <f>Dateneingabe!#REF!</f>
        <v>#REF!</v>
      </c>
    </row>
    <row r="68" spans="1:5" x14ac:dyDescent="0.25">
      <c r="A68" s="4">
        <v>67</v>
      </c>
      <c r="B68" s="53" t="e">
        <f>Dateneingabe!#REF!</f>
        <v>#REF!</v>
      </c>
      <c r="C68" s="53" t="e">
        <f>Dateneingabe!#REF!</f>
        <v>#REF!</v>
      </c>
      <c r="D68" s="2" t="e">
        <f>Dateneingabe!#REF!</f>
        <v>#REF!</v>
      </c>
      <c r="E68" s="31" t="e">
        <f>Dateneingabe!#REF!</f>
        <v>#REF!</v>
      </c>
    </row>
    <row r="69" spans="1:5" x14ac:dyDescent="0.25">
      <c r="A69" s="4">
        <v>68</v>
      </c>
      <c r="B69" s="53" t="e">
        <f>Dateneingabe!#REF!</f>
        <v>#REF!</v>
      </c>
      <c r="C69" s="53" t="e">
        <f>Dateneingabe!#REF!</f>
        <v>#REF!</v>
      </c>
      <c r="D69" s="2" t="e">
        <f>Dateneingabe!#REF!</f>
        <v>#REF!</v>
      </c>
      <c r="E69" s="31" t="e">
        <f>Dateneingabe!#REF!</f>
        <v>#REF!</v>
      </c>
    </row>
    <row r="70" spans="1:5" x14ac:dyDescent="0.25">
      <c r="A70" s="4">
        <v>69</v>
      </c>
      <c r="B70" s="53" t="e">
        <f>Dateneingabe!#REF!</f>
        <v>#REF!</v>
      </c>
      <c r="C70" s="53" t="e">
        <f>Dateneingabe!#REF!</f>
        <v>#REF!</v>
      </c>
      <c r="D70" s="2" t="e">
        <f>Dateneingabe!#REF!</f>
        <v>#REF!</v>
      </c>
      <c r="E70" s="31" t="e">
        <f>Dateneingabe!#REF!</f>
        <v>#REF!</v>
      </c>
    </row>
    <row r="71" spans="1:5" x14ac:dyDescent="0.25">
      <c r="A71" s="4">
        <v>70</v>
      </c>
      <c r="B71" s="53" t="e">
        <f>Dateneingabe!#REF!</f>
        <v>#REF!</v>
      </c>
      <c r="C71" s="53" t="e">
        <f>Dateneingabe!#REF!</f>
        <v>#REF!</v>
      </c>
      <c r="D71" s="2" t="e">
        <f>Dateneingabe!#REF!</f>
        <v>#REF!</v>
      </c>
      <c r="E71" s="31" t="e">
        <f>Dateneingabe!#REF!</f>
        <v>#REF!</v>
      </c>
    </row>
    <row r="72" spans="1:5" x14ac:dyDescent="0.25">
      <c r="A72" s="4">
        <v>71</v>
      </c>
      <c r="B72" s="53" t="e">
        <f>Dateneingabe!#REF!</f>
        <v>#REF!</v>
      </c>
      <c r="C72" s="53" t="e">
        <f>Dateneingabe!#REF!</f>
        <v>#REF!</v>
      </c>
      <c r="D72" s="2" t="e">
        <f>Dateneingabe!#REF!</f>
        <v>#REF!</v>
      </c>
      <c r="E72" s="31" t="e">
        <f>Dateneingabe!#REF!</f>
        <v>#REF!</v>
      </c>
    </row>
    <row r="73" spans="1:5" x14ac:dyDescent="0.25">
      <c r="A73" s="4">
        <v>72</v>
      </c>
      <c r="B73" s="53" t="e">
        <f>Dateneingabe!#REF!</f>
        <v>#REF!</v>
      </c>
      <c r="C73" s="53" t="e">
        <f>Dateneingabe!#REF!</f>
        <v>#REF!</v>
      </c>
      <c r="D73" s="2" t="e">
        <f>Dateneingabe!#REF!</f>
        <v>#REF!</v>
      </c>
      <c r="E73" s="31" t="e">
        <f>Dateneingabe!#REF!</f>
        <v>#REF!</v>
      </c>
    </row>
    <row r="74" spans="1:5" x14ac:dyDescent="0.25">
      <c r="A74" s="4">
        <v>73</v>
      </c>
      <c r="B74" s="53" t="e">
        <f>Dateneingabe!#REF!</f>
        <v>#REF!</v>
      </c>
      <c r="C74" s="53" t="e">
        <f>Dateneingabe!#REF!</f>
        <v>#REF!</v>
      </c>
      <c r="D74" s="2" t="e">
        <f>Dateneingabe!#REF!</f>
        <v>#REF!</v>
      </c>
      <c r="E74" s="31" t="e">
        <f>Dateneingabe!#REF!</f>
        <v>#REF!</v>
      </c>
    </row>
    <row r="75" spans="1:5" x14ac:dyDescent="0.25">
      <c r="A75" s="4">
        <v>74</v>
      </c>
      <c r="B75" s="53" t="e">
        <f>Dateneingabe!#REF!</f>
        <v>#REF!</v>
      </c>
      <c r="C75" s="53" t="e">
        <f>Dateneingabe!#REF!</f>
        <v>#REF!</v>
      </c>
      <c r="D75" s="2" t="e">
        <f>Dateneingabe!#REF!</f>
        <v>#REF!</v>
      </c>
      <c r="E75" s="31" t="e">
        <f>Dateneingabe!#REF!</f>
        <v>#REF!</v>
      </c>
    </row>
    <row r="76" spans="1:5" x14ac:dyDescent="0.25">
      <c r="A76" s="4">
        <v>75</v>
      </c>
      <c r="B76" s="53" t="str">
        <f>Dateneingabe!B5</f>
        <v xml:space="preserve">Anwerber </v>
      </c>
      <c r="C76" s="53" t="str">
        <f>Dateneingabe!C5</f>
        <v>Wohin</v>
      </c>
      <c r="D76" s="2">
        <f>Dateneingabe!H5</f>
        <v>16</v>
      </c>
      <c r="E76" s="31" t="str">
        <f>Dateneingabe!G5</f>
        <v/>
      </c>
    </row>
    <row r="77" spans="1:5" x14ac:dyDescent="0.25">
      <c r="A77" s="4">
        <v>76</v>
      </c>
      <c r="B77" s="53" t="str">
        <f>Dateneingabe!B6</f>
        <v xml:space="preserve">Anwerber </v>
      </c>
      <c r="C77" s="53" t="str">
        <f>Dateneingabe!C6</f>
        <v>Tornado</v>
      </c>
      <c r="D77" s="2">
        <f>Dateneingabe!H6</f>
        <v>19</v>
      </c>
      <c r="E77" s="31" t="str">
        <f>Dateneingabe!G6</f>
        <v/>
      </c>
    </row>
    <row r="78" spans="1:5" x14ac:dyDescent="0.25">
      <c r="A78" s="4">
        <v>77</v>
      </c>
      <c r="B78" s="53" t="str">
        <f>Dateneingabe!B7</f>
        <v xml:space="preserve">Anwerber </v>
      </c>
      <c r="C78" s="53" t="str">
        <f>Dateneingabe!C7</f>
        <v>Mousse</v>
      </c>
      <c r="D78" s="2">
        <f>Dateneingabe!H7</f>
        <v>10</v>
      </c>
      <c r="E78" s="31" t="str">
        <f>Dateneingabe!G7</f>
        <v/>
      </c>
    </row>
    <row r="79" spans="1:5" x14ac:dyDescent="0.25">
      <c r="A79" s="4">
        <v>78</v>
      </c>
      <c r="B79" s="53" t="str">
        <f>Dateneingabe!B8</f>
        <v xml:space="preserve">Anwerber </v>
      </c>
      <c r="C79" s="53" t="str">
        <f>Dateneingabe!C8</f>
        <v>Rapmar</v>
      </c>
      <c r="D79" s="2">
        <f>Dateneingabe!H8</f>
        <v>15</v>
      </c>
      <c r="E79" s="31" t="str">
        <f>Dateneingabe!G8</f>
        <v/>
      </c>
    </row>
    <row r="80" spans="1:5" x14ac:dyDescent="0.25">
      <c r="A80" s="4">
        <v>79</v>
      </c>
      <c r="B80" s="53" t="e">
        <f>Dateneingabe!#REF!</f>
        <v>#REF!</v>
      </c>
      <c r="C80" s="53" t="e">
        <f>Dateneingabe!#REF!</f>
        <v>#REF!</v>
      </c>
      <c r="D80" s="2" t="e">
        <f>Dateneingabe!#REF!</f>
        <v>#REF!</v>
      </c>
      <c r="E80" s="31" t="e">
        <f>Dateneingabe!#REF!</f>
        <v>#REF!</v>
      </c>
    </row>
    <row r="81" spans="1:5" x14ac:dyDescent="0.25">
      <c r="A81" s="4">
        <v>80</v>
      </c>
      <c r="B81" s="53" t="str">
        <f>Dateneingabe!B9</f>
        <v xml:space="preserve">Anwerber </v>
      </c>
      <c r="C81" s="53" t="str">
        <f>Dateneingabe!C9</f>
        <v>Patler</v>
      </c>
      <c r="D81" s="2">
        <f>Dateneingabe!H9</f>
        <v>7</v>
      </c>
      <c r="E81" s="31" t="str">
        <f>Dateneingabe!G9</f>
        <v/>
      </c>
    </row>
    <row r="82" spans="1:5" x14ac:dyDescent="0.25">
      <c r="A82" s="4">
        <v>81</v>
      </c>
      <c r="B82" s="53" t="str">
        <f>Dateneingabe!B11</f>
        <v xml:space="preserve">Anwerber </v>
      </c>
      <c r="C82" s="53" t="str">
        <f>Dateneingabe!C11</f>
        <v>Lucas</v>
      </c>
      <c r="D82" s="2">
        <f>Dateneingabe!H11</f>
        <v>1</v>
      </c>
      <c r="E82" s="31" t="str">
        <f>Dateneingabe!G11</f>
        <v/>
      </c>
    </row>
    <row r="83" spans="1:5" x14ac:dyDescent="0.25">
      <c r="A83" s="4">
        <v>82</v>
      </c>
      <c r="B83" s="53" t="e">
        <f>Dateneingabe!#REF!</f>
        <v>#REF!</v>
      </c>
      <c r="C83" s="53" t="e">
        <f>Dateneingabe!#REF!</f>
        <v>#REF!</v>
      </c>
      <c r="D83" s="2" t="e">
        <f>Dateneingabe!#REF!</f>
        <v>#REF!</v>
      </c>
      <c r="E83" s="31" t="e">
        <f>Dateneingabe!#REF!</f>
        <v>#REF!</v>
      </c>
    </row>
    <row r="84" spans="1:5" x14ac:dyDescent="0.25">
      <c r="A84" s="4">
        <v>83</v>
      </c>
      <c r="B84" s="53" t="e">
        <f>Dateneingabe!#REF!</f>
        <v>#REF!</v>
      </c>
      <c r="C84" s="53" t="e">
        <f>Dateneingabe!#REF!</f>
        <v>#REF!</v>
      </c>
      <c r="D84" s="2" t="e">
        <f>Dateneingabe!#REF!</f>
        <v>#REF!</v>
      </c>
      <c r="E84" s="31" t="e">
        <f>Dateneingabe!#REF!</f>
        <v>#REF!</v>
      </c>
    </row>
    <row r="85" spans="1:5" x14ac:dyDescent="0.25">
      <c r="A85" s="4">
        <v>84</v>
      </c>
      <c r="B85" s="53" t="e">
        <f>Dateneingabe!#REF!</f>
        <v>#REF!</v>
      </c>
      <c r="C85" s="53" t="e">
        <f>Dateneingabe!#REF!</f>
        <v>#REF!</v>
      </c>
      <c r="D85" s="2" t="e">
        <f>Dateneingabe!#REF!</f>
        <v>#REF!</v>
      </c>
      <c r="E85" s="31" t="e">
        <f>Dateneingabe!#REF!</f>
        <v>#REF!</v>
      </c>
    </row>
    <row r="86" spans="1:5" x14ac:dyDescent="0.25">
      <c r="A86" s="4">
        <v>85</v>
      </c>
      <c r="B86" s="53" t="e">
        <f>Dateneingabe!#REF!</f>
        <v>#REF!</v>
      </c>
      <c r="C86" s="53" t="e">
        <f>Dateneingabe!#REF!</f>
        <v>#REF!</v>
      </c>
      <c r="D86" s="2" t="e">
        <f>Dateneingabe!#REF!</f>
        <v>#REF!</v>
      </c>
      <c r="E86" s="31" t="e">
        <f>Dateneingabe!#REF!</f>
        <v>#REF!</v>
      </c>
    </row>
    <row r="87" spans="1:5" x14ac:dyDescent="0.25">
      <c r="A87" s="4">
        <v>86</v>
      </c>
      <c r="B87" s="53" t="e">
        <f>Dateneingabe!#REF!</f>
        <v>#REF!</v>
      </c>
      <c r="C87" s="53" t="e">
        <f>Dateneingabe!#REF!</f>
        <v>#REF!</v>
      </c>
      <c r="D87" s="2" t="e">
        <f>Dateneingabe!#REF!</f>
        <v>#REF!</v>
      </c>
      <c r="E87" s="31" t="e">
        <f>Dateneingabe!#REF!</f>
        <v>#REF!</v>
      </c>
    </row>
    <row r="88" spans="1:5" x14ac:dyDescent="0.25">
      <c r="A88" s="4">
        <v>87</v>
      </c>
      <c r="B88" s="53" t="str">
        <f>Dateneingabe!B12</f>
        <v xml:space="preserve">Anwerber </v>
      </c>
      <c r="C88" s="53" t="str">
        <f>Dateneingabe!C12</f>
        <v>Jonesy</v>
      </c>
      <c r="D88" s="2">
        <f>Dateneingabe!H12</f>
        <v>5</v>
      </c>
      <c r="E88" s="31" t="str">
        <f>Dateneingabe!G12</f>
        <v/>
      </c>
    </row>
    <row r="89" spans="1:5" x14ac:dyDescent="0.25">
      <c r="A89" s="4">
        <v>88</v>
      </c>
      <c r="B89" s="53" t="str">
        <f>Dateneingabe!B13</f>
        <v xml:space="preserve">Anwerber </v>
      </c>
      <c r="C89" s="53" t="str">
        <f>Dateneingabe!C13</f>
        <v>Schabo</v>
      </c>
      <c r="D89" s="2">
        <f>Dateneingabe!H13</f>
        <v>12</v>
      </c>
      <c r="E89" s="31" t="str">
        <f>Dateneingabe!G13</f>
        <v/>
      </c>
    </row>
    <row r="90" spans="1:5" x14ac:dyDescent="0.25">
      <c r="A90" s="4">
        <v>89</v>
      </c>
      <c r="B90" s="53" t="str">
        <f>Dateneingabe!B14</f>
        <v xml:space="preserve">Anwerber </v>
      </c>
      <c r="C90" s="53" t="str">
        <f>Dateneingabe!C14</f>
        <v>Bismark</v>
      </c>
      <c r="D90" s="2">
        <f>Dateneingabe!H14</f>
        <v>4</v>
      </c>
      <c r="E90" s="31" t="str">
        <f>Dateneingabe!G14</f>
        <v/>
      </c>
    </row>
    <row r="91" spans="1:5" x14ac:dyDescent="0.25">
      <c r="A91" s="4">
        <v>90</v>
      </c>
      <c r="B91" s="53" t="str">
        <f>Dateneingabe!B15</f>
        <v xml:space="preserve">Anwerber </v>
      </c>
      <c r="C91" s="53" t="str">
        <f>Dateneingabe!C15</f>
        <v>ZerOS</v>
      </c>
      <c r="D91" s="2">
        <f>Dateneingabe!H15</f>
        <v>8</v>
      </c>
      <c r="E91" s="31" t="str">
        <f>Dateneingabe!G15</f>
        <v/>
      </c>
    </row>
    <row r="92" spans="1:5" x14ac:dyDescent="0.25">
      <c r="A92" s="4">
        <v>91</v>
      </c>
      <c r="B92" s="53" t="str">
        <f>Dateneingabe!B16</f>
        <v xml:space="preserve">Anwerber </v>
      </c>
      <c r="C92" s="53" t="str">
        <f>Dateneingabe!C16</f>
        <v>Dominus</v>
      </c>
      <c r="D92" s="2">
        <f>Dateneingabe!H16</f>
        <v>0</v>
      </c>
      <c r="E92" s="31" t="str">
        <f>Dateneingabe!G16</f>
        <v/>
      </c>
    </row>
    <row r="93" spans="1:5" x14ac:dyDescent="0.25">
      <c r="A93" s="4">
        <v>92</v>
      </c>
      <c r="B93" s="53" t="str">
        <f>Dateneingabe!B17</f>
        <v xml:space="preserve">Anwerber </v>
      </c>
      <c r="C93" s="53" t="str">
        <f>Dateneingabe!C17</f>
        <v>Mecke</v>
      </c>
      <c r="D93" s="2">
        <f>Dateneingabe!H17</f>
        <v>6</v>
      </c>
      <c r="E93" s="31" t="str">
        <f>Dateneingabe!G17</f>
        <v/>
      </c>
    </row>
    <row r="94" spans="1:5" x14ac:dyDescent="0.25">
      <c r="A94" s="4">
        <v>93</v>
      </c>
      <c r="B94" s="53" t="str">
        <f>Dateneingabe!B18</f>
        <v xml:space="preserve">Anwerber </v>
      </c>
      <c r="C94" s="53" t="str">
        <f>Dateneingabe!C18</f>
        <v>CptIglo</v>
      </c>
      <c r="D94" s="2">
        <f>Dateneingabe!H18</f>
        <v>3</v>
      </c>
      <c r="E94" s="31" t="str">
        <f>Dateneingabe!G18</f>
        <v/>
      </c>
    </row>
    <row r="95" spans="1:5" x14ac:dyDescent="0.25">
      <c r="A95" s="4">
        <v>94</v>
      </c>
      <c r="B95" s="53" t="str">
        <f>Dateneingabe!B19</f>
        <v xml:space="preserve">Anwerber </v>
      </c>
      <c r="C95" s="53" t="str">
        <f>Dateneingabe!C19</f>
        <v>Dominus</v>
      </c>
      <c r="D95" s="2">
        <f>Dateneingabe!H19</f>
        <v>0</v>
      </c>
      <c r="E95" s="31" t="str">
        <f>Dateneingabe!G19</f>
        <v/>
      </c>
    </row>
    <row r="96" spans="1:5" x14ac:dyDescent="0.25">
      <c r="A96" s="4">
        <v>95</v>
      </c>
      <c r="B96" s="53" t="str">
        <f>Dateneingabe!B20</f>
        <v xml:space="preserve">Anwerber </v>
      </c>
      <c r="C96" s="53" t="str">
        <f>Dateneingabe!C20</f>
        <v>Yeti</v>
      </c>
      <c r="D96" s="2">
        <f>Dateneingabe!H20</f>
        <v>1</v>
      </c>
      <c r="E96" s="31" t="str">
        <f>Dateneingabe!G20</f>
        <v/>
      </c>
    </row>
    <row r="97" spans="1:5" x14ac:dyDescent="0.25">
      <c r="A97" s="4">
        <v>96</v>
      </c>
      <c r="B97" s="53" t="str">
        <f>Dateneingabe!B21</f>
        <v xml:space="preserve">Anwerber </v>
      </c>
      <c r="C97" s="53" t="str">
        <f>Dateneingabe!C21</f>
        <v>Mecke</v>
      </c>
      <c r="D97" s="2">
        <f>Dateneingabe!H21</f>
        <v>3</v>
      </c>
      <c r="E97" s="31" t="str">
        <f>Dateneingabe!G21</f>
        <v/>
      </c>
    </row>
    <row r="98" spans="1:5" x14ac:dyDescent="0.25">
      <c r="A98" s="4">
        <v>97</v>
      </c>
      <c r="B98" s="53" t="str">
        <f>Dateneingabe!B22</f>
        <v xml:space="preserve">Anwerber </v>
      </c>
      <c r="C98" s="53" t="str">
        <f>Dateneingabe!C22</f>
        <v>Brandt</v>
      </c>
      <c r="D98" s="2">
        <f>Dateneingabe!H22</f>
        <v>7</v>
      </c>
      <c r="E98" s="31" t="str">
        <f>Dateneingabe!G22</f>
        <v/>
      </c>
    </row>
    <row r="99" spans="1:5" x14ac:dyDescent="0.25">
      <c r="A99" s="4">
        <v>98</v>
      </c>
      <c r="B99" s="53" t="str">
        <f>Dateneingabe!B23</f>
        <v xml:space="preserve">Anwerber </v>
      </c>
      <c r="C99" s="53" t="str">
        <f>Dateneingabe!C23</f>
        <v>Snowy</v>
      </c>
      <c r="D99" s="2">
        <f>Dateneingabe!H23</f>
        <v>4</v>
      </c>
      <c r="E99" s="31" t="str">
        <f>Dateneingabe!G23</f>
        <v/>
      </c>
    </row>
    <row r="100" spans="1:5" x14ac:dyDescent="0.25">
      <c r="A100" s="4">
        <v>99</v>
      </c>
      <c r="B100" s="53" t="str">
        <f>Dateneingabe!B24</f>
        <v xml:space="preserve">Anwerber </v>
      </c>
      <c r="C100" s="53" t="str">
        <f>Dateneingabe!C24</f>
        <v>Herbert</v>
      </c>
      <c r="D100" s="2">
        <f>Dateneingabe!H24</f>
        <v>0</v>
      </c>
      <c r="E100" s="31" t="str">
        <f>Dateneingabe!G24</f>
        <v/>
      </c>
    </row>
    <row r="101" spans="1:5" x14ac:dyDescent="0.25">
      <c r="A101" s="4">
        <v>100</v>
      </c>
      <c r="B101" s="53" t="str">
        <f>Dateneingabe!B25</f>
        <v xml:space="preserve">Anwerber </v>
      </c>
      <c r="C101" s="53" t="str">
        <f>Dateneingabe!C25</f>
        <v>Lutz</v>
      </c>
      <c r="D101" s="2">
        <f>Dateneingabe!H25</f>
        <v>1</v>
      </c>
      <c r="E101" s="31" t="str">
        <f>Dateneingabe!G25</f>
        <v/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CP28"/>
  <sheetViews>
    <sheetView tabSelected="1" zoomScaleNormal="100" workbookViewId="0">
      <pane xSplit="3" topLeftCell="G1" activePane="topRight" state="frozen"/>
      <selection pane="topRight" activeCell="I5" sqref="I5"/>
    </sheetView>
  </sheetViews>
  <sheetFormatPr baseColWidth="10" defaultRowHeight="15" x14ac:dyDescent="0.25"/>
  <cols>
    <col min="1" max="1" width="14" bestFit="1" customWidth="1"/>
    <col min="2" max="2" width="19.5703125" customWidth="1"/>
    <col min="3" max="3" width="11.42578125" customWidth="1"/>
    <col min="4" max="4" width="12.5703125" bestFit="1" customWidth="1"/>
    <col min="5" max="5" width="29.5703125" bestFit="1" customWidth="1"/>
    <col min="6" max="6" width="19.28515625" bestFit="1" customWidth="1"/>
    <col min="7" max="7" width="16.42578125" customWidth="1"/>
    <col min="8" max="8" width="35" bestFit="1" customWidth="1"/>
    <col min="9" max="9" width="22.7109375" customWidth="1"/>
    <col min="10" max="10" width="15.5703125" bestFit="1" customWidth="1"/>
    <col min="11" max="11" width="25.28515625" bestFit="1" customWidth="1"/>
    <col min="12" max="26" width="24" style="21" bestFit="1" customWidth="1"/>
    <col min="27" max="27" width="25" style="21" bestFit="1" customWidth="1"/>
    <col min="28" max="94" width="24" style="21" bestFit="1" customWidth="1"/>
  </cols>
  <sheetData>
    <row r="1" spans="1:94" s="11" customFormat="1" ht="14.45" x14ac:dyDescent="0.3">
      <c r="A1" s="8"/>
      <c r="B1" s="8"/>
      <c r="C1" s="34"/>
      <c r="D1" s="8"/>
      <c r="E1" s="8"/>
      <c r="F1" s="8"/>
      <c r="G1" s="8"/>
      <c r="H1" s="9"/>
      <c r="I1" s="9"/>
      <c r="J1" s="9"/>
      <c r="K1" s="9"/>
      <c r="L1" s="19">
        <v>45600</v>
      </c>
      <c r="M1" s="19">
        <v>45604</v>
      </c>
      <c r="N1" s="19">
        <v>45605</v>
      </c>
      <c r="O1" s="19">
        <v>45607</v>
      </c>
      <c r="P1" s="19">
        <v>45611</v>
      </c>
      <c r="Q1" s="19">
        <v>45614</v>
      </c>
      <c r="R1" s="19">
        <v>45618</v>
      </c>
      <c r="S1" s="19">
        <v>45621</v>
      </c>
      <c r="T1" s="19">
        <v>45625</v>
      </c>
      <c r="U1" s="19">
        <v>45626</v>
      </c>
      <c r="V1" s="19">
        <v>45628</v>
      </c>
      <c r="W1" s="19">
        <v>45632</v>
      </c>
      <c r="X1" s="19">
        <v>45633</v>
      </c>
      <c r="Y1" s="19">
        <v>45635</v>
      </c>
      <c r="Z1" s="19">
        <v>45639</v>
      </c>
      <c r="AA1" s="19">
        <v>45640</v>
      </c>
      <c r="AB1" s="19">
        <v>45641</v>
      </c>
      <c r="AC1" s="19">
        <v>45642</v>
      </c>
      <c r="AD1" s="19">
        <v>45646</v>
      </c>
      <c r="AE1" s="19">
        <v>45649</v>
      </c>
      <c r="AF1" s="19">
        <v>45653</v>
      </c>
      <c r="AG1" s="19">
        <v>45656</v>
      </c>
      <c r="AH1" s="19">
        <v>45660</v>
      </c>
      <c r="AI1" s="19">
        <v>45663</v>
      </c>
      <c r="AJ1" s="19">
        <v>45667</v>
      </c>
      <c r="AK1" s="19">
        <v>45669</v>
      </c>
      <c r="AL1" s="19">
        <v>45670</v>
      </c>
      <c r="AM1" s="19">
        <v>45674</v>
      </c>
      <c r="AN1" s="19">
        <v>45677</v>
      </c>
      <c r="AO1" s="19">
        <v>45681</v>
      </c>
      <c r="AP1" s="19">
        <v>45684</v>
      </c>
      <c r="AQ1" s="19">
        <v>45688</v>
      </c>
      <c r="AR1" s="19">
        <v>45689</v>
      </c>
      <c r="AS1" s="19">
        <v>45691</v>
      </c>
      <c r="AT1" s="19">
        <v>45695</v>
      </c>
      <c r="AU1" s="19">
        <v>45698</v>
      </c>
      <c r="AV1" s="19">
        <v>45702</v>
      </c>
      <c r="AW1" s="19">
        <v>45704</v>
      </c>
      <c r="AX1" s="19">
        <v>45705</v>
      </c>
      <c r="AY1" s="19">
        <v>45709</v>
      </c>
      <c r="AZ1" s="19">
        <v>45712</v>
      </c>
      <c r="BA1" s="19">
        <v>45716</v>
      </c>
      <c r="BB1" s="19">
        <v>45719</v>
      </c>
      <c r="BC1" s="19">
        <v>45723</v>
      </c>
      <c r="BD1" s="19">
        <v>45725</v>
      </c>
      <c r="BE1" s="19">
        <v>45726</v>
      </c>
      <c r="BF1" s="19">
        <v>45730</v>
      </c>
      <c r="BG1" s="19">
        <v>45733</v>
      </c>
      <c r="BH1" s="19">
        <v>45737</v>
      </c>
      <c r="BI1" s="19">
        <v>45738</v>
      </c>
      <c r="BJ1" s="19">
        <v>45740</v>
      </c>
      <c r="BK1" s="19">
        <v>45744</v>
      </c>
      <c r="BL1" s="19">
        <v>45746</v>
      </c>
      <c r="BM1" s="19">
        <v>45747</v>
      </c>
      <c r="BN1" s="19">
        <v>45751</v>
      </c>
      <c r="BO1" s="19">
        <v>45754</v>
      </c>
      <c r="BP1" s="19">
        <v>45758</v>
      </c>
      <c r="BQ1" s="19">
        <v>45761</v>
      </c>
      <c r="BR1" s="19">
        <v>45765</v>
      </c>
      <c r="BS1" s="19">
        <v>45766</v>
      </c>
      <c r="BT1" s="19">
        <v>45768</v>
      </c>
      <c r="BU1" s="19">
        <v>45772</v>
      </c>
      <c r="BV1" s="19">
        <v>45775</v>
      </c>
      <c r="BW1" s="19">
        <v>45779</v>
      </c>
      <c r="BX1" s="19">
        <v>45781</v>
      </c>
      <c r="BY1" s="19">
        <v>45782</v>
      </c>
      <c r="BZ1" s="19">
        <v>45786</v>
      </c>
      <c r="CA1" s="19">
        <v>45787</v>
      </c>
      <c r="CB1" s="19">
        <v>45789</v>
      </c>
      <c r="CC1" s="19">
        <v>45793</v>
      </c>
      <c r="CD1" s="19">
        <v>45795</v>
      </c>
      <c r="CE1" s="19">
        <v>45796</v>
      </c>
      <c r="CF1" s="19">
        <v>45797</v>
      </c>
      <c r="CG1" s="19">
        <v>45800</v>
      </c>
      <c r="CH1" s="19">
        <v>45801</v>
      </c>
      <c r="CI1" s="19">
        <v>45802</v>
      </c>
      <c r="CJ1" s="19">
        <v>45803</v>
      </c>
      <c r="CK1" s="19">
        <v>45807</v>
      </c>
      <c r="CL1" s="19"/>
      <c r="CM1" s="19"/>
      <c r="CN1" s="19"/>
      <c r="CO1" s="19"/>
      <c r="CP1" s="19"/>
    </row>
    <row r="2" spans="1:94" s="29" customFormat="1" ht="45" x14ac:dyDescent="0.25">
      <c r="A2" s="25" t="s">
        <v>16</v>
      </c>
      <c r="B2" s="26" t="s">
        <v>0</v>
      </c>
      <c r="C2" s="32" t="s">
        <v>1</v>
      </c>
      <c r="D2" s="26" t="s">
        <v>50</v>
      </c>
      <c r="E2" s="26" t="s">
        <v>14</v>
      </c>
      <c r="F2" s="30" t="s">
        <v>21</v>
      </c>
      <c r="G2" s="25" t="s">
        <v>32</v>
      </c>
      <c r="H2" s="27" t="s">
        <v>33</v>
      </c>
      <c r="I2" s="27" t="s">
        <v>34</v>
      </c>
      <c r="J2" s="27" t="s">
        <v>35</v>
      </c>
      <c r="K2" s="27" t="s">
        <v>36</v>
      </c>
      <c r="L2" s="28" t="s">
        <v>15</v>
      </c>
      <c r="M2" s="28" t="s">
        <v>15</v>
      </c>
      <c r="N2" s="28" t="s">
        <v>37</v>
      </c>
      <c r="O2" s="28" t="s">
        <v>15</v>
      </c>
      <c r="P2" s="28" t="s">
        <v>37</v>
      </c>
      <c r="Q2" s="28" t="s">
        <v>15</v>
      </c>
      <c r="R2" s="28" t="s">
        <v>15</v>
      </c>
      <c r="S2" s="28" t="s">
        <v>15</v>
      </c>
      <c r="T2" s="28" t="s">
        <v>15</v>
      </c>
      <c r="U2" s="28" t="s">
        <v>37</v>
      </c>
      <c r="V2" s="28" t="s">
        <v>15</v>
      </c>
      <c r="W2" s="28" t="s">
        <v>15</v>
      </c>
      <c r="X2" s="28" t="s">
        <v>37</v>
      </c>
      <c r="Y2" s="28" t="s">
        <v>15</v>
      </c>
      <c r="Z2" s="28" t="s">
        <v>15</v>
      </c>
      <c r="AA2" s="28" t="s">
        <v>37</v>
      </c>
      <c r="AB2" s="28" t="s">
        <v>37</v>
      </c>
      <c r="AC2" s="28" t="s">
        <v>15</v>
      </c>
      <c r="AD2" s="28" t="s">
        <v>15</v>
      </c>
      <c r="AE2" s="28" t="s">
        <v>15</v>
      </c>
      <c r="AF2" s="28" t="s">
        <v>49</v>
      </c>
      <c r="AG2" s="28" t="s">
        <v>15</v>
      </c>
      <c r="AH2" s="28" t="s">
        <v>15</v>
      </c>
      <c r="AI2" s="28" t="s">
        <v>15</v>
      </c>
      <c r="AJ2" s="28" t="s">
        <v>15</v>
      </c>
      <c r="AK2" s="28" t="s">
        <v>37</v>
      </c>
      <c r="AL2" s="28" t="s">
        <v>15</v>
      </c>
      <c r="AM2" s="28" t="s">
        <v>15</v>
      </c>
      <c r="AN2" s="28" t="s">
        <v>15</v>
      </c>
      <c r="AO2" s="28" t="s">
        <v>15</v>
      </c>
      <c r="AP2" s="28" t="s">
        <v>15</v>
      </c>
      <c r="AQ2" s="28" t="s">
        <v>15</v>
      </c>
      <c r="AR2" s="28" t="s">
        <v>37</v>
      </c>
      <c r="AS2" s="28" t="s">
        <v>15</v>
      </c>
      <c r="AT2" s="28" t="s">
        <v>15</v>
      </c>
      <c r="AU2" s="28" t="s">
        <v>37</v>
      </c>
      <c r="AV2" s="28" t="s">
        <v>15</v>
      </c>
      <c r="AW2" s="28" t="s">
        <v>37</v>
      </c>
      <c r="AX2" s="28" t="s">
        <v>15</v>
      </c>
      <c r="AY2" s="28" t="s">
        <v>15</v>
      </c>
      <c r="AZ2" s="28" t="s">
        <v>15</v>
      </c>
      <c r="BA2" s="28" t="s">
        <v>15</v>
      </c>
      <c r="BB2" s="28" t="s">
        <v>15</v>
      </c>
      <c r="BC2" s="28" t="s">
        <v>15</v>
      </c>
      <c r="BD2" s="28" t="s">
        <v>37</v>
      </c>
      <c r="BE2" s="28" t="s">
        <v>15</v>
      </c>
      <c r="BF2" s="28" t="s">
        <v>15</v>
      </c>
      <c r="BG2" s="28" t="s">
        <v>15</v>
      </c>
      <c r="BH2" s="28" t="s">
        <v>15</v>
      </c>
      <c r="BI2" s="28" t="s">
        <v>37</v>
      </c>
      <c r="BJ2" s="28" t="s">
        <v>15</v>
      </c>
      <c r="BK2" s="28" t="s">
        <v>15</v>
      </c>
      <c r="BL2" s="28" t="s">
        <v>37</v>
      </c>
      <c r="BM2" s="28" t="s">
        <v>15</v>
      </c>
      <c r="BN2" s="28"/>
      <c r="BO2" s="28" t="s">
        <v>15</v>
      </c>
      <c r="BP2" s="28" t="s">
        <v>37</v>
      </c>
      <c r="BQ2" s="28" t="s">
        <v>15</v>
      </c>
      <c r="BR2" s="28" t="s">
        <v>15</v>
      </c>
      <c r="BS2" s="28" t="s">
        <v>123</v>
      </c>
      <c r="BT2" s="28" t="s">
        <v>15</v>
      </c>
      <c r="BU2" s="28" t="s">
        <v>124</v>
      </c>
      <c r="BV2" s="28" t="s">
        <v>15</v>
      </c>
      <c r="BW2" s="28" t="s">
        <v>15</v>
      </c>
      <c r="BX2" s="28" t="s">
        <v>37</v>
      </c>
      <c r="BY2" s="28" t="s">
        <v>15</v>
      </c>
      <c r="BZ2" s="28" t="s">
        <v>15</v>
      </c>
      <c r="CA2" s="28" t="s">
        <v>129</v>
      </c>
      <c r="CB2" s="28" t="s">
        <v>15</v>
      </c>
      <c r="CC2" s="28" t="s">
        <v>15</v>
      </c>
      <c r="CD2" s="28" t="s">
        <v>37</v>
      </c>
      <c r="CE2" s="28" t="s">
        <v>15</v>
      </c>
      <c r="CF2" s="28" t="s">
        <v>37</v>
      </c>
      <c r="CG2" s="28" t="s">
        <v>15</v>
      </c>
      <c r="CH2" s="28" t="s">
        <v>136</v>
      </c>
      <c r="CI2" s="28" t="s">
        <v>37</v>
      </c>
      <c r="CJ2" s="28" t="s">
        <v>15</v>
      </c>
      <c r="CK2" s="28" t="s">
        <v>15</v>
      </c>
      <c r="CL2" s="28"/>
      <c r="CM2" s="28"/>
      <c r="CN2" s="28"/>
      <c r="CO2" s="28"/>
      <c r="CP2" s="28"/>
    </row>
    <row r="3" spans="1:94" x14ac:dyDescent="0.25">
      <c r="A3" s="7">
        <f>IFERROR(VLOOKUP(B3,Dienstgradstufen!$A$2:$D$19,3,0),0)</f>
        <v>1</v>
      </c>
      <c r="B3" s="6" t="s">
        <v>12</v>
      </c>
      <c r="C3" s="33" t="s">
        <v>109</v>
      </c>
      <c r="D3" s="35">
        <v>45693</v>
      </c>
      <c r="E3" s="35">
        <v>45693</v>
      </c>
      <c r="F3" s="18">
        <f>IFERROR(VLOOKUP(B3,Dienstgradstufen!$A$2:$D$19,4,0),0)</f>
        <v>0</v>
      </c>
      <c r="G3" s="24" t="str">
        <f>IF(AND(Dateneingabe!F3&gt;0,Dateneingabe!F3&lt;=Dateneingabe!H3),"Ja","")</f>
        <v/>
      </c>
      <c r="H3" s="10" cm="1">
        <f t="array" ref="H3">SUMPRODUCT(L3:DP3,($L$1:$DP$1-E3&gt;=0)*1)</f>
        <v>11</v>
      </c>
      <c r="I3" s="23" cm="1">
        <f t="array" ref="I3">IFERROR(H3/SUM(($L$1:$DP$1-E3&gt;=0)*1),0)</f>
        <v>0.25</v>
      </c>
      <c r="J3" s="10">
        <f t="shared" ref="J3:J4" si="0">SUM(L3:DP3)</f>
        <v>11</v>
      </c>
      <c r="K3" s="23" cm="1">
        <f t="array" ref="K3">IFERROR(J3/SUM(($L$1:$DP$1-D3&gt;=0)*1),0)</f>
        <v>0.25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>
        <v>1</v>
      </c>
      <c r="AW3" s="20">
        <v>1</v>
      </c>
      <c r="AX3" s="20">
        <v>1</v>
      </c>
      <c r="AY3" s="20">
        <v>1</v>
      </c>
      <c r="AZ3" s="20"/>
      <c r="BA3" s="20">
        <v>1</v>
      </c>
      <c r="BB3" s="20">
        <v>1</v>
      </c>
      <c r="BC3" s="20">
        <v>1</v>
      </c>
      <c r="BD3" s="20">
        <v>1</v>
      </c>
      <c r="BE3" s="20"/>
      <c r="BF3" s="20"/>
      <c r="BG3" s="20"/>
      <c r="BH3" s="20">
        <v>1</v>
      </c>
      <c r="BI3" s="20">
        <v>1</v>
      </c>
      <c r="BJ3" s="20"/>
      <c r="BK3" s="20">
        <v>1</v>
      </c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</row>
    <row r="4" spans="1:94" x14ac:dyDescent="0.25">
      <c r="A4" s="7">
        <f>IFERROR(VLOOKUP(B4,Dienstgradstufen!$A$2:$D$19,3,0),0)</f>
        <v>1</v>
      </c>
      <c r="B4" s="6" t="s">
        <v>12</v>
      </c>
      <c r="C4" s="33" t="s">
        <v>110</v>
      </c>
      <c r="D4" s="35">
        <v>45695</v>
      </c>
      <c r="E4" s="35">
        <v>45695</v>
      </c>
      <c r="F4" s="18">
        <f>IFERROR(VLOOKUP(B4,Dienstgradstufen!$A$2:$D$19,4,0),0)</f>
        <v>0</v>
      </c>
      <c r="G4" s="24" t="str">
        <f>IF(AND(Dateneingabe!F4&gt;0,Dateneingabe!F4&lt;=Dateneingabe!H4),"Ja","")</f>
        <v/>
      </c>
      <c r="H4" s="10" cm="1">
        <f t="array" ref="H4">SUMPRODUCT(L4:DP4,($L$1:$DP$1-E4&gt;=0)*1)</f>
        <v>2</v>
      </c>
      <c r="I4" s="23" cm="1">
        <f t="array" ref="I4">IFERROR(H4/SUM(($L$1:$DP$1-E4&gt;=0)*1),0)</f>
        <v>4.5454545454545456E-2</v>
      </c>
      <c r="J4" s="10">
        <f t="shared" si="0"/>
        <v>2</v>
      </c>
      <c r="K4" s="23" cm="1">
        <f t="array" ref="K4">IFERROR(J4/SUM(($L$1:$DP$1-D4&gt;=0)*1),0)</f>
        <v>4.5454545454545456E-2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>
        <v>1</v>
      </c>
      <c r="AY4" s="20"/>
      <c r="AZ4" s="20">
        <v>1</v>
      </c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</row>
    <row r="5" spans="1:94" ht="15.6" customHeight="1" x14ac:dyDescent="0.25">
      <c r="A5" s="7">
        <f>IFERROR(VLOOKUP(B5,Dienstgradstufen!$A$2:$D$19,3,0),0)</f>
        <v>1</v>
      </c>
      <c r="B5" s="6" t="s">
        <v>12</v>
      </c>
      <c r="C5" s="33" t="s">
        <v>113</v>
      </c>
      <c r="D5" s="35">
        <v>45717</v>
      </c>
      <c r="E5" s="35">
        <v>45717</v>
      </c>
      <c r="F5" s="18">
        <f>IFERROR(VLOOKUP(B5,Dienstgradstufen!$A$2:$D$19,4,0),0)</f>
        <v>0</v>
      </c>
      <c r="G5" s="24" t="str">
        <f>IF(AND(Dateneingabe!F5&gt;0,Dateneingabe!F5&lt;=Dateneingabe!H5),"Ja","")</f>
        <v/>
      </c>
      <c r="H5" s="10" cm="1">
        <f t="array" ref="H5">SUMPRODUCT(L5:DP5,($L$1:$DP$1-E5&gt;=0)*1)</f>
        <v>16</v>
      </c>
      <c r="I5" s="23" cm="1">
        <f t="array" ref="I5">IFERROR(H5/SUM(($L$1:$DP$1-E5&gt;=0)*1),0)</f>
        <v>0.44444444444444442</v>
      </c>
      <c r="J5" s="10">
        <f t="shared" ref="J5:J6" si="1">SUM(L5:DP5)</f>
        <v>16</v>
      </c>
      <c r="K5" s="23" cm="1">
        <f t="array" ref="K5">IFERROR(J5/SUM(($L$1:$DP$1-D5&gt;=0)*1),0)</f>
        <v>0.44444444444444442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>
        <v>1</v>
      </c>
      <c r="BC5" s="20"/>
      <c r="BD5" s="20">
        <v>1</v>
      </c>
      <c r="BE5" s="20">
        <v>1</v>
      </c>
      <c r="BF5" s="20"/>
      <c r="BG5" s="20">
        <v>1</v>
      </c>
      <c r="BH5" s="20"/>
      <c r="BI5" s="20">
        <v>1</v>
      </c>
      <c r="BJ5" s="20">
        <v>1</v>
      </c>
      <c r="BK5" s="20"/>
      <c r="BL5" s="20"/>
      <c r="BM5" s="20">
        <v>1</v>
      </c>
      <c r="BN5" s="20"/>
      <c r="BO5" s="20">
        <v>1</v>
      </c>
      <c r="BP5" s="20"/>
      <c r="BQ5" s="20">
        <v>1</v>
      </c>
      <c r="BR5" s="20"/>
      <c r="BS5" s="20"/>
      <c r="BT5" s="20">
        <v>1</v>
      </c>
      <c r="BU5" s="20"/>
      <c r="BV5" s="20">
        <v>1</v>
      </c>
      <c r="BW5" s="20"/>
      <c r="BX5" s="20"/>
      <c r="BY5" s="20">
        <v>1</v>
      </c>
      <c r="BZ5" s="20"/>
      <c r="CA5" s="20">
        <v>1</v>
      </c>
      <c r="CB5" s="20"/>
      <c r="CC5" s="20"/>
      <c r="CD5" s="20"/>
      <c r="CE5" s="20"/>
      <c r="CF5" s="20">
        <v>1</v>
      </c>
      <c r="CG5" s="20"/>
      <c r="CH5" s="20"/>
      <c r="CI5" s="20">
        <v>1</v>
      </c>
      <c r="CJ5" s="20">
        <v>1</v>
      </c>
      <c r="CK5" s="20"/>
      <c r="CL5" s="20"/>
      <c r="CM5" s="20"/>
      <c r="CN5" s="20"/>
      <c r="CO5" s="20"/>
      <c r="CP5" s="20"/>
    </row>
    <row r="6" spans="1:94" ht="15.6" customHeight="1" x14ac:dyDescent="0.25">
      <c r="A6" s="7">
        <f>IFERROR(VLOOKUP(B6,Dienstgradstufen!$A$2:$D$19,3,0),0)</f>
        <v>1</v>
      </c>
      <c r="B6" s="6" t="s">
        <v>12</v>
      </c>
      <c r="C6" s="33" t="s">
        <v>114</v>
      </c>
      <c r="D6" s="35">
        <v>45718</v>
      </c>
      <c r="E6" s="35">
        <v>45718</v>
      </c>
      <c r="F6" s="18">
        <f>IFERROR(VLOOKUP(B6,Dienstgradstufen!$A$2:$D$19,4,0),0)</f>
        <v>0</v>
      </c>
      <c r="G6" s="24" t="str">
        <f>IF(AND(Dateneingabe!F6&gt;0,Dateneingabe!F6&lt;=Dateneingabe!H6),"Ja","")</f>
        <v/>
      </c>
      <c r="H6" s="10" cm="1">
        <f t="array" ref="H6">SUMPRODUCT(L6:DP6,($L$1:$DP$1-E6&gt;=0)*1)</f>
        <v>19</v>
      </c>
      <c r="I6" s="23" cm="1">
        <f t="array" ref="I6">IFERROR(H6/SUM(($L$1:$DP$1-E6&gt;=0)*1),0)</f>
        <v>0.52777777777777779</v>
      </c>
      <c r="J6" s="10">
        <f t="shared" si="1"/>
        <v>19</v>
      </c>
      <c r="K6" s="23" cm="1">
        <f t="array" ref="K6">IFERROR(J6/SUM(($L$1:$DP$1-D6&gt;=0)*1),0)</f>
        <v>0.52777777777777779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>
        <v>1</v>
      </c>
      <c r="BD6" s="20"/>
      <c r="BE6" s="20"/>
      <c r="BF6" s="20">
        <v>1</v>
      </c>
      <c r="BG6" s="20"/>
      <c r="BH6" s="20"/>
      <c r="BI6" s="20">
        <v>1</v>
      </c>
      <c r="BJ6" s="20"/>
      <c r="BK6" s="20"/>
      <c r="BL6" s="20"/>
      <c r="BM6" s="20">
        <v>1</v>
      </c>
      <c r="BN6" s="20">
        <v>1</v>
      </c>
      <c r="BO6" s="20">
        <v>1</v>
      </c>
      <c r="BP6" s="20"/>
      <c r="BQ6" s="20"/>
      <c r="BR6" s="20">
        <v>1</v>
      </c>
      <c r="BS6" s="20">
        <v>1</v>
      </c>
      <c r="BT6" s="20">
        <v>1</v>
      </c>
      <c r="BU6" s="20"/>
      <c r="BV6" s="20"/>
      <c r="BW6" s="20">
        <v>1</v>
      </c>
      <c r="BX6" s="20">
        <v>1</v>
      </c>
      <c r="BY6" s="20">
        <v>1</v>
      </c>
      <c r="BZ6" s="20">
        <v>1</v>
      </c>
      <c r="CA6" s="20">
        <v>1</v>
      </c>
      <c r="CB6" s="20"/>
      <c r="CC6" s="20"/>
      <c r="CD6" s="20"/>
      <c r="CE6" s="20"/>
      <c r="CF6" s="20"/>
      <c r="CG6" s="20">
        <v>1</v>
      </c>
      <c r="CH6" s="20">
        <v>1</v>
      </c>
      <c r="CI6" s="20">
        <v>1</v>
      </c>
      <c r="CJ6" s="20">
        <v>1</v>
      </c>
      <c r="CK6" s="20">
        <v>1</v>
      </c>
      <c r="CL6" s="20"/>
      <c r="CM6" s="20"/>
      <c r="CN6" s="20"/>
      <c r="CO6" s="20"/>
      <c r="CP6" s="20"/>
    </row>
    <row r="7" spans="1:94" ht="15.6" customHeight="1" x14ac:dyDescent="0.25">
      <c r="A7" s="7">
        <f>IFERROR(VLOOKUP(B7,Dienstgradstufen!$A$2:$D$19,3,0),0)</f>
        <v>1</v>
      </c>
      <c r="B7" s="6" t="s">
        <v>12</v>
      </c>
      <c r="C7" s="33" t="s">
        <v>115</v>
      </c>
      <c r="D7" s="35">
        <v>45718</v>
      </c>
      <c r="E7" s="35">
        <v>45718</v>
      </c>
      <c r="F7" s="18">
        <f>IFERROR(VLOOKUP(B7,Dienstgradstufen!$A$2:$D$19,4,0),0)</f>
        <v>0</v>
      </c>
      <c r="G7" s="24" t="str">
        <f>IF(AND(Dateneingabe!F7&gt;0,Dateneingabe!F7&lt;=Dateneingabe!H7),"Ja","")</f>
        <v/>
      </c>
      <c r="H7" s="10" cm="1">
        <f t="array" ref="H7">SUMPRODUCT(L7:DP7,($L$1:$DP$1-E7&gt;=0)*1)</f>
        <v>10</v>
      </c>
      <c r="I7" s="23" cm="1">
        <f t="array" ref="I7">IFERROR(H7/SUM(($L$1:$DP$1-E7&gt;=0)*1),0)</f>
        <v>0.27777777777777779</v>
      </c>
      <c r="J7" s="10">
        <f t="shared" ref="J7" si="2">SUM(L7:DP7)</f>
        <v>10</v>
      </c>
      <c r="K7" s="23" cm="1">
        <f t="array" ref="K7">IFERROR(J7/SUM(($L$1:$DP$1-D7&gt;=0)*1),0)</f>
        <v>0.27777777777777779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>
        <v>1</v>
      </c>
      <c r="BD7" s="20">
        <v>1</v>
      </c>
      <c r="BE7" s="20"/>
      <c r="BF7" s="20"/>
      <c r="BG7" s="20">
        <v>1</v>
      </c>
      <c r="BH7" s="20">
        <v>1</v>
      </c>
      <c r="BI7" s="20">
        <v>1</v>
      </c>
      <c r="BJ7" s="20"/>
      <c r="BK7" s="20">
        <v>1</v>
      </c>
      <c r="BL7" s="20"/>
      <c r="BM7" s="20"/>
      <c r="BN7" s="20"/>
      <c r="BO7" s="20"/>
      <c r="BP7" s="20"/>
      <c r="BQ7" s="20">
        <v>1</v>
      </c>
      <c r="BR7" s="20">
        <v>1</v>
      </c>
      <c r="BS7" s="20">
        <v>1</v>
      </c>
      <c r="BT7" s="20"/>
      <c r="BU7" s="20"/>
      <c r="BV7" s="20"/>
      <c r="BW7" s="20">
        <v>1</v>
      </c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</row>
    <row r="8" spans="1:94" ht="15.6" customHeight="1" x14ac:dyDescent="0.25">
      <c r="A8" s="7">
        <f>IFERROR(VLOOKUP(B8,Dienstgradstufen!$A$2:$D$19,3,0),0)</f>
        <v>1</v>
      </c>
      <c r="B8" s="6" t="s">
        <v>12</v>
      </c>
      <c r="C8" s="33" t="s">
        <v>116</v>
      </c>
      <c r="D8" s="35">
        <v>45721</v>
      </c>
      <c r="E8" s="35">
        <v>45721</v>
      </c>
      <c r="F8" s="18">
        <f>IFERROR(VLOOKUP(B8,Dienstgradstufen!$A$2:$D$19,4,0),0)</f>
        <v>0</v>
      </c>
      <c r="G8" s="24" t="str">
        <f>IF(AND(Dateneingabe!F8&gt;0,Dateneingabe!F8&lt;=Dateneingabe!H8),"Ja","")</f>
        <v/>
      </c>
      <c r="H8" s="10" cm="1">
        <f t="array" ref="H8">SUMPRODUCT(L8:DP8,($L$1:$DP$1-E8&gt;=0)*1)</f>
        <v>15</v>
      </c>
      <c r="I8" s="23" cm="1">
        <f t="array" ref="I8">IFERROR(H8/SUM(($L$1:$DP$1-E8&gt;=0)*1),0)</f>
        <v>0.42857142857142855</v>
      </c>
      <c r="J8" s="10">
        <f t="shared" ref="J8" si="3">SUM(L8:DP8)</f>
        <v>15</v>
      </c>
      <c r="K8" s="23" cm="1">
        <f t="array" ref="K8">IFERROR(J8/SUM(($L$1:$DP$1-D8&gt;=0)*1),0)</f>
        <v>0.42857142857142855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>
        <v>1</v>
      </c>
      <c r="BD8" s="20"/>
      <c r="BE8" s="20">
        <v>1</v>
      </c>
      <c r="BF8" s="20">
        <v>1</v>
      </c>
      <c r="BG8" s="20">
        <v>1</v>
      </c>
      <c r="BH8" s="20"/>
      <c r="BI8" s="20"/>
      <c r="BJ8" s="20"/>
      <c r="BK8" s="20"/>
      <c r="BL8" s="20"/>
      <c r="BM8" s="20">
        <v>1</v>
      </c>
      <c r="BN8" s="20"/>
      <c r="BO8" s="20"/>
      <c r="BP8" s="20"/>
      <c r="BQ8" s="20">
        <v>1</v>
      </c>
      <c r="BR8" s="20"/>
      <c r="BS8" s="20"/>
      <c r="BT8" s="20">
        <v>1</v>
      </c>
      <c r="BU8" s="20"/>
      <c r="BV8" s="20"/>
      <c r="BW8" s="20">
        <v>1</v>
      </c>
      <c r="BX8" s="20"/>
      <c r="BY8" s="20">
        <v>1</v>
      </c>
      <c r="BZ8" s="20">
        <v>1</v>
      </c>
      <c r="CA8" s="20">
        <v>1</v>
      </c>
      <c r="CB8" s="20"/>
      <c r="CC8" s="20"/>
      <c r="CD8" s="20"/>
      <c r="CE8" s="20">
        <v>1</v>
      </c>
      <c r="CF8" s="20">
        <v>1</v>
      </c>
      <c r="CG8" s="20">
        <v>1</v>
      </c>
      <c r="CH8" s="20"/>
      <c r="CI8" s="20">
        <v>1</v>
      </c>
      <c r="CJ8" s="20"/>
      <c r="CK8" s="20"/>
      <c r="CL8" s="20"/>
      <c r="CM8" s="20"/>
      <c r="CN8" s="20"/>
      <c r="CO8" s="20"/>
      <c r="CP8" s="20"/>
    </row>
    <row r="9" spans="1:94" ht="15.6" customHeight="1" x14ac:dyDescent="0.25">
      <c r="A9" s="7">
        <f>IFERROR(VLOOKUP(B9,Dienstgradstufen!$A$2:$D$19,3,0),0)</f>
        <v>1</v>
      </c>
      <c r="B9" s="6" t="s">
        <v>12</v>
      </c>
      <c r="C9" s="33" t="s">
        <v>117</v>
      </c>
      <c r="D9" s="35">
        <v>45734</v>
      </c>
      <c r="E9" s="35">
        <v>45734</v>
      </c>
      <c r="F9" s="18">
        <f>IFERROR(VLOOKUP(B9,Dienstgradstufen!$A$2:$D$19,4,0),0)</f>
        <v>0</v>
      </c>
      <c r="G9" s="24" t="str">
        <f>IF(AND(Dateneingabe!F9&gt;0,Dateneingabe!F9&lt;=Dateneingabe!H9),"Ja","")</f>
        <v/>
      </c>
      <c r="H9" s="10" cm="1">
        <f t="array" ref="H9">SUMPRODUCT(L9:DP9,($L$1:$DP$1-E9&gt;=0)*1)</f>
        <v>7</v>
      </c>
      <c r="I9" s="23" cm="1">
        <f t="array" ref="I9">IFERROR(H9/SUM(($L$1:$DP$1-E9&gt;=0)*1),0)</f>
        <v>0.23333333333333334</v>
      </c>
      <c r="J9" s="10">
        <f t="shared" ref="J9:J11" si="4">SUM(L9:DP9)</f>
        <v>7</v>
      </c>
      <c r="K9" s="23" cm="1">
        <f t="array" ref="K9">IFERROR(J9/SUM(($L$1:$DP$1-D9&gt;=0)*1),0)</f>
        <v>0.23333333333333334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>
        <v>1</v>
      </c>
      <c r="BL9" s="20"/>
      <c r="BM9" s="20"/>
      <c r="BN9" s="20"/>
      <c r="BO9" s="20"/>
      <c r="BP9" s="20">
        <v>1</v>
      </c>
      <c r="BQ9" s="20"/>
      <c r="BR9" s="20"/>
      <c r="BS9" s="20"/>
      <c r="BT9" s="20"/>
      <c r="BU9" s="20"/>
      <c r="BV9" s="20"/>
      <c r="BW9" s="20">
        <v>1</v>
      </c>
      <c r="BX9" s="20"/>
      <c r="BY9" s="20"/>
      <c r="BZ9" s="20">
        <v>1</v>
      </c>
      <c r="CA9" s="20">
        <v>1</v>
      </c>
      <c r="CB9" s="20"/>
      <c r="CC9" s="20"/>
      <c r="CD9" s="20"/>
      <c r="CE9" s="20"/>
      <c r="CF9" s="20"/>
      <c r="CG9" s="20">
        <v>1</v>
      </c>
      <c r="CH9" s="20">
        <v>1</v>
      </c>
      <c r="CI9" s="20"/>
      <c r="CJ9" s="20"/>
      <c r="CK9" s="20"/>
      <c r="CL9" s="20"/>
      <c r="CM9" s="20"/>
      <c r="CN9" s="20"/>
      <c r="CO9" s="20"/>
      <c r="CP9" s="20"/>
    </row>
    <row r="10" spans="1:94" ht="15.6" customHeight="1" x14ac:dyDescent="0.25">
      <c r="A10" s="7">
        <f>IFERROR(VLOOKUP(B10,Dienstgradstufen!$A$2:$D$19,3,0),0)</f>
        <v>1</v>
      </c>
      <c r="B10" s="6" t="s">
        <v>12</v>
      </c>
      <c r="C10" s="33" t="s">
        <v>118</v>
      </c>
      <c r="D10" s="35">
        <v>45735</v>
      </c>
      <c r="E10" s="35">
        <v>45735</v>
      </c>
      <c r="F10" s="18">
        <f>IFERROR(VLOOKUP(B10,Dienstgradstufen!$A$2:$D$19,4,0),0)</f>
        <v>0</v>
      </c>
      <c r="G10" s="24" t="str">
        <f>IF(AND(Dateneingabe!F10&gt;0,Dateneingabe!F10&lt;=Dateneingabe!H10),"Ja","")</f>
        <v/>
      </c>
      <c r="H10" s="10" cm="1">
        <f t="array" ref="H10">SUMPRODUCT(L10:DP10,($L$1:$DP$1-E10&gt;=0)*1)</f>
        <v>3</v>
      </c>
      <c r="I10" s="23" cm="1">
        <f t="array" ref="I10">IFERROR(H10/SUM(($L$1:$DP$1-E10&gt;=0)*1),0)</f>
        <v>0.1</v>
      </c>
      <c r="J10" s="10">
        <f t="shared" ref="J10" si="5">SUM(L10:DP10)</f>
        <v>3</v>
      </c>
      <c r="K10" s="23" cm="1">
        <f t="array" ref="K10">IFERROR(J10/SUM(($L$1:$DP$1-D10&gt;=0)*1),0)</f>
        <v>0.1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>
        <v>1</v>
      </c>
      <c r="BT10" s="20"/>
      <c r="BU10" s="20">
        <v>1</v>
      </c>
      <c r="BV10" s="20"/>
      <c r="BW10" s="20"/>
      <c r="BX10" s="20"/>
      <c r="BY10" s="20"/>
      <c r="BZ10" s="20"/>
      <c r="CA10" s="20">
        <v>1</v>
      </c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</row>
    <row r="11" spans="1:94" ht="15.6" customHeight="1" x14ac:dyDescent="0.25">
      <c r="A11" s="7">
        <f>IFERROR(VLOOKUP(B11,Dienstgradstufen!$A$2:$D$19,3,0),0)</f>
        <v>1</v>
      </c>
      <c r="B11" s="6" t="s">
        <v>12</v>
      </c>
      <c r="C11" s="33" t="s">
        <v>119</v>
      </c>
      <c r="D11" s="35">
        <v>45755</v>
      </c>
      <c r="E11" s="35">
        <v>45755</v>
      </c>
      <c r="F11" s="18">
        <f>IFERROR(VLOOKUP(B11,Dienstgradstufen!$A$2:$D$19,4,0),0)</f>
        <v>0</v>
      </c>
      <c r="G11" s="24" t="str">
        <f>IF(AND(Dateneingabe!F11&gt;0,Dateneingabe!F11&lt;=Dateneingabe!H11),"Ja","")</f>
        <v/>
      </c>
      <c r="H11" s="10" cm="1">
        <f t="array" ref="H11">SUMPRODUCT(L11:DP11,($L$1:$DP$1-E11&gt;=0)*1)</f>
        <v>1</v>
      </c>
      <c r="I11" s="23" cm="1">
        <f t="array" ref="I11">IFERROR(H11/SUM(($L$1:$DP$1-E11&gt;=0)*1),0)</f>
        <v>4.5454545454545456E-2</v>
      </c>
      <c r="J11" s="10">
        <f t="shared" si="4"/>
        <v>1</v>
      </c>
      <c r="K11" s="23" cm="1">
        <f t="array" ref="K11">IFERROR(J11/SUM(($L$1:$DP$1-D11&gt;=0)*1),0)</f>
        <v>4.5454545454545456E-2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>
        <v>1</v>
      </c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</row>
    <row r="12" spans="1:94" ht="15.6" customHeight="1" x14ac:dyDescent="0.25">
      <c r="A12" s="7">
        <f>IFERROR(VLOOKUP(B12,Dienstgradstufen!$A$2:$D$19,3,0),0)</f>
        <v>1</v>
      </c>
      <c r="B12" s="6" t="s">
        <v>12</v>
      </c>
      <c r="C12" s="33" t="s">
        <v>120</v>
      </c>
      <c r="D12" s="35">
        <v>45760</v>
      </c>
      <c r="E12" s="35">
        <v>45760</v>
      </c>
      <c r="F12" s="18">
        <f>IFERROR(VLOOKUP(B12,Dienstgradstufen!$A$2:$D$19,4,0),0)</f>
        <v>0</v>
      </c>
      <c r="G12" s="24" t="str">
        <f>IF(AND(Dateneingabe!F12&gt;0,Dateneingabe!F12&lt;=Dateneingabe!H12),"Ja","")</f>
        <v/>
      </c>
      <c r="H12" s="10" cm="1">
        <f t="array" ref="H12">SUMPRODUCT(L12:DP12,($L$1:$DP$1-E12&gt;=0)*1)</f>
        <v>5</v>
      </c>
      <c r="I12" s="23" cm="1">
        <f t="array" ref="I12">IFERROR(H12/SUM(($L$1:$DP$1-E12&gt;=0)*1),0)</f>
        <v>0.23809523809523808</v>
      </c>
      <c r="J12" s="10">
        <f t="shared" ref="J12:J13" si="6">SUM(L12:DP12)</f>
        <v>5</v>
      </c>
      <c r="K12" s="23" cm="1">
        <f t="array" ref="K12">IFERROR(J12/SUM(($L$1:$DP$1-D12&gt;=0)*1),0)</f>
        <v>0.23809523809523808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>
        <v>1</v>
      </c>
      <c r="BU12" s="20"/>
      <c r="BV12" s="20">
        <v>1</v>
      </c>
      <c r="BW12" s="20">
        <v>1</v>
      </c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>
        <v>1</v>
      </c>
      <c r="CJ12" s="20">
        <v>1</v>
      </c>
      <c r="CK12" s="20"/>
      <c r="CL12" s="20"/>
      <c r="CM12" s="20"/>
      <c r="CN12" s="20"/>
      <c r="CO12" s="20"/>
      <c r="CP12" s="20"/>
    </row>
    <row r="13" spans="1:94" ht="15.6" customHeight="1" x14ac:dyDescent="0.25">
      <c r="A13" s="7">
        <f>IFERROR(VLOOKUP(B13,Dienstgradstufen!$A$2:$D$19,3,0),0)</f>
        <v>1</v>
      </c>
      <c r="B13" s="6" t="s">
        <v>12</v>
      </c>
      <c r="C13" s="33" t="s">
        <v>121</v>
      </c>
      <c r="D13" s="35">
        <v>45762</v>
      </c>
      <c r="E13" s="35">
        <v>45762</v>
      </c>
      <c r="F13" s="18">
        <f>IFERROR(VLOOKUP(B13,Dienstgradstufen!$A$2:$D$19,4,0),0)</f>
        <v>0</v>
      </c>
      <c r="G13" s="24" t="str">
        <f>IF(AND(Dateneingabe!F13&gt;0,Dateneingabe!F13&lt;=Dateneingabe!H13),"Ja","")</f>
        <v/>
      </c>
      <c r="H13" s="10" cm="1">
        <f t="array" ref="H13">SUMPRODUCT(L13:DP13,($L$1:$DP$1-E13&gt;=0)*1)</f>
        <v>12</v>
      </c>
      <c r="I13" s="23" cm="1">
        <f t="array" ref="I13">IFERROR(H13/SUM(($L$1:$DP$1-E13&gt;=0)*1),0)</f>
        <v>0.6</v>
      </c>
      <c r="J13" s="10">
        <f t="shared" si="6"/>
        <v>12</v>
      </c>
      <c r="K13" s="23" cm="1">
        <f t="array" ref="K13">IFERROR(J13/SUM(($L$1:$DP$1-D13&gt;=0)*1),0)</f>
        <v>0.6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>
        <v>1</v>
      </c>
      <c r="BT13" s="20">
        <v>1</v>
      </c>
      <c r="BU13" s="20"/>
      <c r="BV13" s="20">
        <v>1</v>
      </c>
      <c r="BW13" s="20">
        <v>1</v>
      </c>
      <c r="BX13" s="20"/>
      <c r="BY13" s="20">
        <v>1</v>
      </c>
      <c r="BZ13" s="20">
        <v>1</v>
      </c>
      <c r="CA13" s="20"/>
      <c r="CB13" s="20">
        <v>1</v>
      </c>
      <c r="CC13" s="20">
        <v>1</v>
      </c>
      <c r="CD13" s="20"/>
      <c r="CE13" s="20"/>
      <c r="CF13" s="20"/>
      <c r="CG13" s="20">
        <v>1</v>
      </c>
      <c r="CH13" s="20"/>
      <c r="CI13" s="20">
        <v>1</v>
      </c>
      <c r="CJ13" s="20">
        <v>1</v>
      </c>
      <c r="CK13" s="20">
        <v>1</v>
      </c>
      <c r="CL13" s="20"/>
      <c r="CM13" s="20"/>
      <c r="CN13" s="20"/>
      <c r="CO13" s="20"/>
      <c r="CP13" s="20"/>
    </row>
    <row r="14" spans="1:94" ht="15.6" customHeight="1" x14ac:dyDescent="0.25">
      <c r="A14" s="7">
        <f>IFERROR(VLOOKUP(B14,Dienstgradstufen!$A$2:$D$19,3,0),0)</f>
        <v>1</v>
      </c>
      <c r="B14" s="6" t="s">
        <v>12</v>
      </c>
      <c r="C14" s="33" t="s">
        <v>122</v>
      </c>
      <c r="D14" s="35">
        <v>45767</v>
      </c>
      <c r="E14" s="35">
        <v>45767</v>
      </c>
      <c r="F14" s="18">
        <f>IFERROR(VLOOKUP(B14,Dienstgradstufen!$A$2:$D$19,4,0),0)</f>
        <v>0</v>
      </c>
      <c r="G14" s="24" t="str">
        <f>IF(AND(Dateneingabe!F14&gt;0,Dateneingabe!F14&lt;=Dateneingabe!H14),"Ja","")</f>
        <v/>
      </c>
      <c r="H14" s="10" cm="1">
        <f t="array" ref="H14">SUMPRODUCT(L14:DP14,($L$1:$DP$1-E14&gt;=0)*1)</f>
        <v>4</v>
      </c>
      <c r="I14" s="23" cm="1">
        <f t="array" ref="I14">IFERROR(H14/SUM(($L$1:$DP$1-E14&gt;=0)*1),0)</f>
        <v>0.22222222222222221</v>
      </c>
      <c r="J14" s="10">
        <f t="shared" ref="J14" si="7">SUM(L14:DP14)</f>
        <v>4</v>
      </c>
      <c r="K14" s="23" cm="1">
        <f t="array" ref="K14">IFERROR(J14/SUM(($L$1:$DP$1-D14&gt;=0)*1),0)</f>
        <v>0.22222222222222221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>
        <v>1</v>
      </c>
      <c r="BX14" s="20"/>
      <c r="BY14" s="20">
        <v>1</v>
      </c>
      <c r="BZ14" s="20"/>
      <c r="CA14" s="20"/>
      <c r="CB14" s="20">
        <v>1</v>
      </c>
      <c r="CC14" s="20">
        <v>1</v>
      </c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</row>
    <row r="15" spans="1:94" ht="15.6" customHeight="1" x14ac:dyDescent="0.25">
      <c r="A15" s="7">
        <f>IFERROR(VLOOKUP(B15,Dienstgradstufen!$A$2:$D$19,3,0),0)</f>
        <v>1</v>
      </c>
      <c r="B15" s="6" t="s">
        <v>12</v>
      </c>
      <c r="C15" s="33" t="s">
        <v>125</v>
      </c>
      <c r="D15" s="35">
        <v>45771</v>
      </c>
      <c r="E15" s="35">
        <v>45771</v>
      </c>
      <c r="F15" s="18">
        <f>IFERROR(VLOOKUP(B15,Dienstgradstufen!$A$2:$D$19,4,0),0)</f>
        <v>0</v>
      </c>
      <c r="G15" s="24" t="str">
        <f>IF(AND(Dateneingabe!F15&gt;0,Dateneingabe!F15&lt;=Dateneingabe!H15),"Ja","")</f>
        <v/>
      </c>
      <c r="H15" s="10" cm="1">
        <f t="array" ref="H15">SUMPRODUCT(L15:DP15,($L$1:$DP$1-E15&gt;=0)*1)</f>
        <v>8</v>
      </c>
      <c r="I15" s="23" cm="1">
        <f t="array" ref="I15">IFERROR(H15/SUM(($L$1:$DP$1-E15&gt;=0)*1),0)</f>
        <v>0.47058823529411764</v>
      </c>
      <c r="J15" s="10">
        <f t="shared" ref="J15:J16" si="8">SUM(L15:DP15)</f>
        <v>8</v>
      </c>
      <c r="K15" s="23" cm="1">
        <f t="array" ref="K15">IFERROR(J15/SUM(($L$1:$DP$1-D15&gt;=0)*1),0)</f>
        <v>0.47058823529411764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>
        <v>1</v>
      </c>
      <c r="BW15" s="20"/>
      <c r="BX15" s="20"/>
      <c r="BY15" s="20"/>
      <c r="BZ15" s="20">
        <v>1</v>
      </c>
      <c r="CA15" s="20"/>
      <c r="CB15" s="20">
        <v>1</v>
      </c>
      <c r="CC15" s="20">
        <v>1</v>
      </c>
      <c r="CD15" s="20"/>
      <c r="CE15" s="20">
        <v>1</v>
      </c>
      <c r="CF15" s="20">
        <v>1</v>
      </c>
      <c r="CG15" s="20"/>
      <c r="CH15" s="20"/>
      <c r="CI15" s="20">
        <v>1</v>
      </c>
      <c r="CJ15" s="20">
        <v>1</v>
      </c>
      <c r="CK15" s="20"/>
      <c r="CL15" s="20"/>
      <c r="CM15" s="20"/>
      <c r="CN15" s="20"/>
      <c r="CO15" s="20"/>
      <c r="CP15" s="20"/>
    </row>
    <row r="16" spans="1:94" ht="15.6" customHeight="1" x14ac:dyDescent="0.25">
      <c r="A16" s="7">
        <f>IFERROR(VLOOKUP(B16,Dienstgradstufen!$A$2:$D$19,3,0),0)</f>
        <v>1</v>
      </c>
      <c r="B16" s="6" t="s">
        <v>12</v>
      </c>
      <c r="C16" s="33" t="s">
        <v>126</v>
      </c>
      <c r="D16" s="35">
        <v>45773</v>
      </c>
      <c r="E16" s="35">
        <v>45773</v>
      </c>
      <c r="F16" s="18">
        <f>IFERROR(VLOOKUP(B16,Dienstgradstufen!$A$2:$D$19,4,0),0)</f>
        <v>0</v>
      </c>
      <c r="G16" s="24" t="str">
        <f>IF(AND(Dateneingabe!F16&gt;0,Dateneingabe!F16&lt;=Dateneingabe!H16),"Ja","")</f>
        <v/>
      </c>
      <c r="H16" s="10" cm="1">
        <f t="array" ref="H16">SUMPRODUCT(L16:DP16,($L$1:$DP$1-E16&gt;=0)*1)</f>
        <v>0</v>
      </c>
      <c r="I16" s="23" cm="1">
        <f t="array" ref="I16">IFERROR(H16/SUM(($L$1:$DP$1-E16&gt;=0)*1),0)</f>
        <v>0</v>
      </c>
      <c r="J16" s="10">
        <f t="shared" si="8"/>
        <v>0</v>
      </c>
      <c r="K16" s="23" cm="1">
        <f t="array" ref="K16">IFERROR(J16/SUM(($L$1:$DP$1-D16&gt;=0)*1),0)</f>
        <v>0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</row>
    <row r="17" spans="1:94" ht="15.6" customHeight="1" x14ac:dyDescent="0.25">
      <c r="A17" s="7">
        <f>IFERROR(VLOOKUP(B17,Dienstgradstufen!$A$2:$D$19,3,0),0)</f>
        <v>1</v>
      </c>
      <c r="B17" s="6" t="s">
        <v>12</v>
      </c>
      <c r="C17" s="33" t="s">
        <v>127</v>
      </c>
      <c r="D17" s="35">
        <v>45778</v>
      </c>
      <c r="E17" s="35">
        <v>45778</v>
      </c>
      <c r="F17" s="18">
        <f>IFERROR(VLOOKUP(B17,Dienstgradstufen!$A$2:$D$19,4,0),0)</f>
        <v>0</v>
      </c>
      <c r="G17" s="24" t="str">
        <f>IF(AND(Dateneingabe!F17&gt;0,Dateneingabe!F17&lt;=Dateneingabe!H17),"Ja","")</f>
        <v/>
      </c>
      <c r="H17" s="10" cm="1">
        <f t="array" ref="H17">SUMPRODUCT(L17:DP17,($L$1:$DP$1-E17&gt;=0)*1)</f>
        <v>6</v>
      </c>
      <c r="I17" s="23" cm="1">
        <f t="array" ref="I17">IFERROR(H17/SUM(($L$1:$DP$1-E17&gt;=0)*1),0)</f>
        <v>0.4</v>
      </c>
      <c r="J17" s="10">
        <f t="shared" ref="J17:J21" si="9">SUM(L17:DP17)</f>
        <v>6</v>
      </c>
      <c r="K17" s="23" cm="1">
        <f t="array" ref="K17">IFERROR(J17/SUM(($L$1:$DP$1-D17&gt;=0)*1),0)</f>
        <v>0.4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>
        <v>1</v>
      </c>
      <c r="BX17" s="20"/>
      <c r="BY17" s="20">
        <v>1</v>
      </c>
      <c r="BZ17" s="20">
        <v>1</v>
      </c>
      <c r="CA17" s="20"/>
      <c r="CB17" s="20"/>
      <c r="CC17" s="20">
        <v>1</v>
      </c>
      <c r="CD17" s="20"/>
      <c r="CE17" s="20"/>
      <c r="CF17" s="20"/>
      <c r="CG17" s="20">
        <v>1</v>
      </c>
      <c r="CH17" s="20"/>
      <c r="CI17" s="20"/>
      <c r="CJ17" s="20"/>
      <c r="CK17" s="20">
        <v>1</v>
      </c>
      <c r="CL17" s="20"/>
      <c r="CM17" s="20"/>
      <c r="CN17" s="20"/>
      <c r="CO17" s="20"/>
      <c r="CP17" s="20"/>
    </row>
    <row r="18" spans="1:94" ht="15.6" customHeight="1" x14ac:dyDescent="0.25">
      <c r="A18" s="7">
        <f>IFERROR(VLOOKUP(B18,Dienstgradstufen!$A$2:$D$19,3,0),0)</f>
        <v>1</v>
      </c>
      <c r="B18" s="6" t="s">
        <v>12</v>
      </c>
      <c r="C18" s="33" t="s">
        <v>128</v>
      </c>
      <c r="D18" s="35">
        <v>45773</v>
      </c>
      <c r="E18" s="35">
        <v>45773</v>
      </c>
      <c r="F18" s="18">
        <f>IFERROR(VLOOKUP(B18,Dienstgradstufen!$A$2:$D$19,4,0),0)</f>
        <v>0</v>
      </c>
      <c r="G18" s="24" t="str">
        <f>IF(AND(Dateneingabe!F18&gt;0,Dateneingabe!F18&lt;=Dateneingabe!H18),"Ja","")</f>
        <v/>
      </c>
      <c r="H18" s="10" cm="1">
        <f t="array" ref="H18">SUMPRODUCT(L18:DP18,($L$1:$DP$1-E18&gt;=0)*1)</f>
        <v>3</v>
      </c>
      <c r="I18" s="23" cm="1">
        <f t="array" ref="I18">IFERROR(H18/SUM(($L$1:$DP$1-E18&gt;=0)*1),0)</f>
        <v>0.1875</v>
      </c>
      <c r="J18" s="10">
        <f t="shared" si="9"/>
        <v>3</v>
      </c>
      <c r="K18" s="23" cm="1">
        <f t="array" ref="K18">IFERROR(J18/SUM(($L$1:$DP$1-D18&gt;=0)*1),0)</f>
        <v>0.1875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>
        <v>1</v>
      </c>
      <c r="BX18" s="20"/>
      <c r="BY18" s="20">
        <v>1</v>
      </c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>
        <v>1</v>
      </c>
      <c r="CK18" s="20"/>
      <c r="CL18" s="20"/>
      <c r="CM18" s="20"/>
      <c r="CN18" s="20"/>
      <c r="CO18" s="20"/>
      <c r="CP18" s="20"/>
    </row>
    <row r="19" spans="1:94" ht="15.6" customHeight="1" x14ac:dyDescent="0.25">
      <c r="A19" s="7">
        <f>IFERROR(VLOOKUP(B19,Dienstgradstufen!$A$2:$D$19,3,0),0)</f>
        <v>1</v>
      </c>
      <c r="B19" s="6" t="s">
        <v>12</v>
      </c>
      <c r="C19" s="33" t="s">
        <v>126</v>
      </c>
      <c r="D19" s="35">
        <v>45773</v>
      </c>
      <c r="E19" s="35">
        <v>45773</v>
      </c>
      <c r="F19" s="18">
        <f>IFERROR(VLOOKUP(B19,Dienstgradstufen!$A$2:$D$19,4,0),0)</f>
        <v>0</v>
      </c>
      <c r="G19" s="24" t="str">
        <f>IF(AND(Dateneingabe!F19&gt;0,Dateneingabe!F19&lt;=Dateneingabe!H19),"Ja","")</f>
        <v/>
      </c>
      <c r="H19" s="10" cm="1">
        <f t="array" ref="H19">SUMPRODUCT(L19:DP19,($L$1:$DP$1-E19&gt;=0)*1)</f>
        <v>0</v>
      </c>
      <c r="I19" s="23" cm="1">
        <f t="array" ref="I19">IFERROR(H19/SUM(($L$1:$DP$1-E19&gt;=0)*1),0)</f>
        <v>0</v>
      </c>
      <c r="J19" s="10">
        <f t="shared" si="9"/>
        <v>0</v>
      </c>
      <c r="K19" s="23" cm="1">
        <f t="array" ref="K19">IFERROR(J19/SUM(($L$1:$DP$1-D19&gt;=0)*1),0)</f>
        <v>0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</row>
    <row r="20" spans="1:94" ht="15.6" customHeight="1" x14ac:dyDescent="0.25">
      <c r="A20" s="7">
        <f>IFERROR(VLOOKUP(B20,Dienstgradstufen!$A$2:$D$19,3,0),0)</f>
        <v>1</v>
      </c>
      <c r="B20" s="6" t="s">
        <v>12</v>
      </c>
      <c r="C20" s="33" t="s">
        <v>133</v>
      </c>
      <c r="D20" s="35">
        <v>45771</v>
      </c>
      <c r="E20" s="35">
        <v>45771</v>
      </c>
      <c r="F20" s="18">
        <f>IFERROR(VLOOKUP(B20,Dienstgradstufen!$A$2:$D$19,4,0),0)</f>
        <v>0</v>
      </c>
      <c r="G20" s="24" t="str">
        <f>IF(AND(Dateneingabe!F20&gt;0,Dateneingabe!F20&lt;=Dateneingabe!H20),"Ja","")</f>
        <v/>
      </c>
      <c r="H20" s="10" cm="1">
        <f t="array" ref="H20">SUMPRODUCT(L20:DP20,($L$1:$DP$1-E20&gt;=0)*1)</f>
        <v>1</v>
      </c>
      <c r="I20" s="23" cm="1">
        <f t="array" ref="I20">IFERROR(H20/SUM(($L$1:$DP$1-E20&gt;=0)*1),0)</f>
        <v>5.8823529411764705E-2</v>
      </c>
      <c r="J20" s="10">
        <f t="shared" si="9"/>
        <v>1</v>
      </c>
      <c r="K20" s="23" cm="1">
        <f t="array" ref="K20">IFERROR(J20/SUM(($L$1:$DP$1-D20&gt;=0)*1),0)</f>
        <v>5.8823529411764705E-2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>
        <v>1</v>
      </c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</row>
    <row r="21" spans="1:94" ht="15.6" customHeight="1" x14ac:dyDescent="0.25">
      <c r="A21" s="7">
        <f>IFERROR(VLOOKUP(B21,Dienstgradstufen!$A$2:$D$19,3,0),0)</f>
        <v>1</v>
      </c>
      <c r="B21" s="6" t="s">
        <v>12</v>
      </c>
      <c r="C21" s="33" t="s">
        <v>127</v>
      </c>
      <c r="D21" s="35">
        <v>45778</v>
      </c>
      <c r="E21" s="35">
        <v>45778</v>
      </c>
      <c r="F21" s="18">
        <f>IFERROR(VLOOKUP(B21,Dienstgradstufen!$A$2:$D$19,4,0),0)</f>
        <v>0</v>
      </c>
      <c r="G21" s="24" t="str">
        <f>IF(AND(Dateneingabe!F21&gt;0,Dateneingabe!F21&lt;=Dateneingabe!H21),"Ja","")</f>
        <v/>
      </c>
      <c r="H21" s="10" cm="1">
        <f t="array" ref="H21">SUMPRODUCT(L21:DP21,($L$1:$DP$1-E21&gt;=0)*1)</f>
        <v>3</v>
      </c>
      <c r="I21" s="23" cm="1">
        <f t="array" ref="I21">IFERROR(H21/SUM(($L$1:$DP$1-E21&gt;=0)*1),0)</f>
        <v>0.2</v>
      </c>
      <c r="J21" s="10">
        <f t="shared" si="9"/>
        <v>3</v>
      </c>
      <c r="K21" s="23" cm="1">
        <f t="array" ref="K21">IFERROR(J21/SUM(($L$1:$DP$1-D21&gt;=0)*1),0)</f>
        <v>0.2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>
        <v>1</v>
      </c>
      <c r="CE21" s="20">
        <v>1</v>
      </c>
      <c r="CF21" s="20"/>
      <c r="CG21" s="20"/>
      <c r="CH21" s="20"/>
      <c r="CI21" s="20"/>
      <c r="CJ21" s="20">
        <v>1</v>
      </c>
      <c r="CK21" s="20"/>
      <c r="CL21" s="20"/>
      <c r="CM21" s="20"/>
      <c r="CN21" s="20"/>
      <c r="CO21" s="20"/>
      <c r="CP21" s="20"/>
    </row>
    <row r="22" spans="1:94" ht="15.6" customHeight="1" x14ac:dyDescent="0.25">
      <c r="A22" s="7">
        <f>IFERROR(VLOOKUP(B22,Dienstgradstufen!$A$2:$D$19,3,0),0)</f>
        <v>1</v>
      </c>
      <c r="B22" s="6" t="s">
        <v>12</v>
      </c>
      <c r="C22" s="33" t="s">
        <v>132</v>
      </c>
      <c r="D22" s="35">
        <v>45791</v>
      </c>
      <c r="E22" s="35">
        <v>45791</v>
      </c>
      <c r="F22" s="18">
        <f>IFERROR(VLOOKUP(B22,Dienstgradstufen!$A$2:$D$19,4,0),0)</f>
        <v>0</v>
      </c>
      <c r="G22" s="24" t="str">
        <f>IF(AND(Dateneingabe!F22&gt;0,Dateneingabe!F22&lt;=Dateneingabe!H22),"Ja","")</f>
        <v/>
      </c>
      <c r="H22" s="10" cm="1">
        <f t="array" ref="H22">SUMPRODUCT(L22:DP22,($L$1:$DP$1-E22&gt;=0)*1)</f>
        <v>7</v>
      </c>
      <c r="I22" s="23" cm="1">
        <f t="array" ref="I22">IFERROR(H22/SUM(($L$1:$DP$1-E22&gt;=0)*1),0)</f>
        <v>0.77777777777777779</v>
      </c>
      <c r="J22" s="10">
        <f t="shared" ref="J22:J23" si="10">SUM(L22:DP22)</f>
        <v>7</v>
      </c>
      <c r="K22" s="23" cm="1">
        <f t="array" ref="K22">IFERROR(J22/SUM(($L$1:$DP$1-D22&gt;=0)*1),0)</f>
        <v>0.77777777777777779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>
        <v>1</v>
      </c>
      <c r="CD22" s="20"/>
      <c r="CE22" s="20">
        <v>1</v>
      </c>
      <c r="CF22" s="20">
        <v>1</v>
      </c>
      <c r="CG22" s="20">
        <v>1</v>
      </c>
      <c r="CH22" s="20"/>
      <c r="CI22" s="20">
        <v>1</v>
      </c>
      <c r="CJ22" s="20">
        <v>1</v>
      </c>
      <c r="CK22" s="20">
        <v>1</v>
      </c>
      <c r="CL22" s="20"/>
      <c r="CM22" s="20"/>
      <c r="CN22" s="20"/>
      <c r="CO22" s="20"/>
      <c r="CP22" s="20"/>
    </row>
    <row r="23" spans="1:94" ht="15.6" customHeight="1" x14ac:dyDescent="0.25">
      <c r="A23" s="7">
        <f>IFERROR(VLOOKUP(B23,Dienstgradstufen!$A$2:$D$19,3,0),0)</f>
        <v>1</v>
      </c>
      <c r="B23" s="6" t="s">
        <v>12</v>
      </c>
      <c r="C23" s="33" t="s">
        <v>131</v>
      </c>
      <c r="D23" s="35">
        <v>45796</v>
      </c>
      <c r="E23" s="35">
        <v>45796</v>
      </c>
      <c r="F23" s="18">
        <f>IFERROR(VLOOKUP(B23,Dienstgradstufen!$A$2:$D$19,4,0),0)</f>
        <v>0</v>
      </c>
      <c r="G23" s="24" t="str">
        <f>IF(AND(Dateneingabe!F23&gt;0,Dateneingabe!F23&lt;=Dateneingabe!H23),"Ja","")</f>
        <v/>
      </c>
      <c r="H23" s="10" cm="1">
        <f t="array" ref="H23">SUMPRODUCT(L23:DP23,($L$1:$DP$1-E23&gt;=0)*1)</f>
        <v>4</v>
      </c>
      <c r="I23" s="23" cm="1">
        <f t="array" ref="I23">IFERROR(H23/SUM(($L$1:$DP$1-E23&gt;=0)*1),0)</f>
        <v>0.5714285714285714</v>
      </c>
      <c r="J23" s="10">
        <f t="shared" si="10"/>
        <v>4</v>
      </c>
      <c r="K23" s="23" cm="1">
        <f t="array" ref="K23">IFERROR(J23/SUM(($L$1:$DP$1-D23&gt;=0)*1),0)</f>
        <v>0.5714285714285714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>
        <v>1</v>
      </c>
      <c r="CF23" s="20"/>
      <c r="CG23" s="20">
        <v>1</v>
      </c>
      <c r="CH23" s="20"/>
      <c r="CI23" s="20">
        <v>1</v>
      </c>
      <c r="CJ23" s="20"/>
      <c r="CK23" s="20">
        <v>1</v>
      </c>
      <c r="CL23" s="20"/>
      <c r="CM23" s="20"/>
      <c r="CN23" s="20"/>
      <c r="CO23" s="20"/>
      <c r="CP23" s="20"/>
    </row>
    <row r="24" spans="1:94" ht="15.6" customHeight="1" x14ac:dyDescent="0.25">
      <c r="A24" s="7">
        <f>IFERROR(VLOOKUP(B24,Dienstgradstufen!$A$2:$D$19,3,0),0)</f>
        <v>1</v>
      </c>
      <c r="B24" s="6" t="s">
        <v>12</v>
      </c>
      <c r="C24" s="33" t="s">
        <v>134</v>
      </c>
      <c r="D24" s="35">
        <v>45799</v>
      </c>
      <c r="E24" s="35">
        <v>45799</v>
      </c>
      <c r="F24" s="18">
        <f>IFERROR(VLOOKUP(B24,Dienstgradstufen!$A$2:$D$19,4,0),0)</f>
        <v>0</v>
      </c>
      <c r="G24" s="24" t="str">
        <f>IF(AND(Dateneingabe!F24&gt;0,Dateneingabe!F24&lt;=Dateneingabe!H24),"Ja","")</f>
        <v/>
      </c>
      <c r="H24" s="10" cm="1">
        <f t="array" ref="H24">SUMPRODUCT(L24:DP24,($L$1:$DP$1-E24&gt;=0)*1)</f>
        <v>0</v>
      </c>
      <c r="I24" s="23" cm="1">
        <f t="array" ref="I24">IFERROR(H24/SUM(($L$1:$DP$1-E24&gt;=0)*1),0)</f>
        <v>0</v>
      </c>
      <c r="J24" s="10">
        <f t="shared" ref="J24" si="11">SUM(L24:DP24)</f>
        <v>0</v>
      </c>
      <c r="K24" s="23" cm="1">
        <f t="array" ref="K24">IFERROR(J24/SUM(($L$1:$DP$1-D24&gt;=0)*1),0)</f>
        <v>0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</row>
    <row r="25" spans="1:94" ht="15.6" customHeight="1" x14ac:dyDescent="0.25">
      <c r="A25" s="7">
        <f>IFERROR(VLOOKUP(B25,Dienstgradstufen!$A$2:$D$19,3,0),0)</f>
        <v>1</v>
      </c>
      <c r="B25" s="6" t="s">
        <v>12</v>
      </c>
      <c r="C25" s="33" t="s">
        <v>135</v>
      </c>
      <c r="D25" s="35">
        <v>45807</v>
      </c>
      <c r="E25" s="35">
        <v>45807</v>
      </c>
      <c r="F25" s="18">
        <f>IFERROR(VLOOKUP(B25,Dienstgradstufen!$A$2:$D$19,4,0),0)</f>
        <v>0</v>
      </c>
      <c r="G25" s="24" t="str">
        <f>IF(AND(Dateneingabe!F25&gt;0,Dateneingabe!F25&lt;=Dateneingabe!H25),"Ja","")</f>
        <v/>
      </c>
      <c r="H25" s="10" cm="1">
        <f t="array" ref="H25">SUMPRODUCT(L25:DP25,($L$1:$DP$1-E25&gt;=0)*1)</f>
        <v>1</v>
      </c>
      <c r="I25" s="23" cm="1">
        <f t="array" ref="I25">IFERROR(H25/SUM(($L$1:$DP$1-E25&gt;=0)*1),0)</f>
        <v>1</v>
      </c>
      <c r="J25" s="10">
        <f t="shared" ref="J25:J28" si="12">SUM(L25:DP25)</f>
        <v>1</v>
      </c>
      <c r="K25" s="23" cm="1">
        <f t="array" ref="K25">IFERROR(J25/SUM(($L$1:$DP$1-D25&gt;=0)*1),0)</f>
        <v>1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>
        <v>1</v>
      </c>
      <c r="CL25" s="20"/>
      <c r="CM25" s="20"/>
      <c r="CN25" s="20"/>
      <c r="CO25" s="20"/>
      <c r="CP25" s="20"/>
    </row>
    <row r="26" spans="1:94" ht="15.6" customHeight="1" x14ac:dyDescent="0.25">
      <c r="A26" s="7">
        <f>IFERROR(VLOOKUP(B26,Dienstgradstufen!$A$2:$D$19,3,0),0)</f>
        <v>1</v>
      </c>
      <c r="B26" s="6" t="s">
        <v>12</v>
      </c>
      <c r="C26" s="33" t="s">
        <v>130</v>
      </c>
      <c r="D26" s="35">
        <v>45773</v>
      </c>
      <c r="E26" s="35">
        <v>45773</v>
      </c>
      <c r="F26" s="18">
        <f>IFERROR(VLOOKUP(B26,Dienstgradstufen!$A$2:$D$19,4,0),0)</f>
        <v>0</v>
      </c>
      <c r="G26" s="24" t="str">
        <f>IF(AND(Dateneingabe!F26&gt;0,Dateneingabe!F26&lt;=Dateneingabe!H26),"Ja","")</f>
        <v/>
      </c>
      <c r="H26" s="10" cm="1">
        <f t="array" ref="H26">SUMPRODUCT(L26:DP26,($L$1:$DP$1-E26&gt;=0)*1)</f>
        <v>0</v>
      </c>
      <c r="I26" s="23" cm="1">
        <f t="array" ref="I26">IFERROR(H26/SUM(($L$1:$DP$1-E26&gt;=0)*1),0)</f>
        <v>0</v>
      </c>
      <c r="J26" s="10">
        <f t="shared" si="12"/>
        <v>0</v>
      </c>
      <c r="K26" s="23" cm="1">
        <f t="array" ref="K26">IFERROR(J26/SUM(($L$1:$DP$1-D26&gt;=0)*1),0)</f>
        <v>0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</row>
    <row r="27" spans="1:94" ht="15.6" customHeight="1" x14ac:dyDescent="0.25">
      <c r="A27" s="7">
        <f>IFERROR(VLOOKUP(B27,Dienstgradstufen!$A$2:$D$19,3,0),0)</f>
        <v>1</v>
      </c>
      <c r="B27" s="6" t="s">
        <v>12</v>
      </c>
      <c r="C27" s="33" t="s">
        <v>130</v>
      </c>
      <c r="D27" s="35">
        <v>45773</v>
      </c>
      <c r="E27" s="35">
        <v>45773</v>
      </c>
      <c r="F27" s="18">
        <f>IFERROR(VLOOKUP(B27,Dienstgradstufen!$A$2:$D$19,4,0),0)</f>
        <v>0</v>
      </c>
      <c r="G27" s="24" t="str">
        <f>IF(AND(Dateneingabe!F27&gt;0,Dateneingabe!F27&lt;=Dateneingabe!H27),"Ja","")</f>
        <v/>
      </c>
      <c r="H27" s="10" cm="1">
        <f t="array" ref="H27">SUMPRODUCT(L27:DP27,($L$1:$DP$1-E27&gt;=0)*1)</f>
        <v>0</v>
      </c>
      <c r="I27" s="23" cm="1">
        <f t="array" ref="I27">IFERROR(H27/SUM(($L$1:$DP$1-E27&gt;=0)*1),0)</f>
        <v>0</v>
      </c>
      <c r="J27" s="10">
        <f t="shared" si="12"/>
        <v>0</v>
      </c>
      <c r="K27" s="23" cm="1">
        <f t="array" ref="K27">IFERROR(J27/SUM(($L$1:$DP$1-D27&gt;=0)*1),0)</f>
        <v>0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</row>
    <row r="28" spans="1:94" ht="15.6" customHeight="1" x14ac:dyDescent="0.25">
      <c r="A28" s="7">
        <f>IFERROR(VLOOKUP(B28,Dienstgradstufen!$A$2:$D$19,3,0),0)</f>
        <v>1</v>
      </c>
      <c r="B28" s="6" t="s">
        <v>12</v>
      </c>
      <c r="C28" s="33" t="s">
        <v>130</v>
      </c>
      <c r="D28" s="35">
        <v>45773</v>
      </c>
      <c r="E28" s="35">
        <v>45773</v>
      </c>
      <c r="F28" s="18">
        <f>IFERROR(VLOOKUP(B28,Dienstgradstufen!$A$2:$D$19,4,0),0)</f>
        <v>0</v>
      </c>
      <c r="G28" s="24" t="str">
        <f>IF(AND(Dateneingabe!F28&gt;0,Dateneingabe!F28&lt;=Dateneingabe!H28),"Ja","")</f>
        <v/>
      </c>
      <c r="H28" s="10" cm="1">
        <f t="array" ref="H28">SUMPRODUCT(L28:DP28,($L$1:$DP$1-E28&gt;=0)*1)</f>
        <v>0</v>
      </c>
      <c r="I28" s="23" cm="1">
        <f t="array" ref="I28">IFERROR(H28/SUM(($L$1:$DP$1-E28&gt;=0)*1),0)</f>
        <v>0</v>
      </c>
      <c r="J28" s="10">
        <f t="shared" si="12"/>
        <v>0</v>
      </c>
      <c r="K28" s="23" cm="1">
        <f t="array" ref="K28">IFERROR(J28/SUM(($L$1:$DP$1-D28&gt;=0)*1),0)</f>
        <v>0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</row>
  </sheetData>
  <autoFilter ref="A2:AG2"/>
  <conditionalFormatting sqref="I17">
    <cfRule type="iconSet" priority="45">
      <iconSet>
        <cfvo type="percent" val="0"/>
        <cfvo type="percent" val="33"/>
        <cfvo type="percent" val="50"/>
      </iconSet>
    </cfRule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{BB8D69A5-D771-4C2B-A2A0-54DEEA41F9E1}</x14:id>
        </ext>
      </extLst>
    </cfRule>
  </conditionalFormatting>
  <conditionalFormatting sqref="K17">
    <cfRule type="iconSet" priority="47">
      <iconSet>
        <cfvo type="percent" val="0"/>
        <cfvo type="percent" val="33"/>
        <cfvo type="percent" val="50"/>
      </iconSet>
    </cfRule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{5DDFFD01-4FBF-4C37-9168-213958786AD7}</x14:id>
        </ext>
      </extLst>
    </cfRule>
  </conditionalFormatting>
  <conditionalFormatting sqref="I18">
    <cfRule type="iconSet" priority="41">
      <iconSet>
        <cfvo type="percent" val="0"/>
        <cfvo type="percent" val="33"/>
        <cfvo type="percent" val="50"/>
      </iconSet>
    </cfRule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{D2FFCF2D-474F-49E4-B605-3AE7AA1D2E31}</x14:id>
        </ext>
      </extLst>
    </cfRule>
  </conditionalFormatting>
  <conditionalFormatting sqref="K18">
    <cfRule type="iconSet" priority="43">
      <iconSet>
        <cfvo type="percent" val="0"/>
        <cfvo type="percent" val="33"/>
        <cfvo type="percent" val="50"/>
      </iconSet>
    </cfRule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{CD22BCAB-BF30-4A6E-B724-4F3D451408EA}</x14:id>
        </ext>
      </extLst>
    </cfRule>
  </conditionalFormatting>
  <conditionalFormatting sqref="I19">
    <cfRule type="iconSet" priority="37">
      <iconSet>
        <cfvo type="percent" val="0"/>
        <cfvo type="percent" val="33"/>
        <cfvo type="percent" val="50"/>
      </iconSet>
    </cfRule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{1D9CBBE0-22F3-434F-B40C-4978AB6D0938}</x14:id>
        </ext>
      </extLst>
    </cfRule>
  </conditionalFormatting>
  <conditionalFormatting sqref="K19">
    <cfRule type="iconSet" priority="39">
      <iconSet>
        <cfvo type="percent" val="0"/>
        <cfvo type="percent" val="33"/>
        <cfvo type="percent" val="50"/>
      </iconSe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{579450B1-0E52-433D-BA06-51C8C2941EAE}</x14:id>
        </ext>
      </extLst>
    </cfRule>
  </conditionalFormatting>
  <conditionalFormatting sqref="I20">
    <cfRule type="iconSet" priority="33">
      <iconSet>
        <cfvo type="percent" val="0"/>
        <cfvo type="percent" val="33"/>
        <cfvo type="percent" val="50"/>
      </iconSet>
    </cfRule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{D03230A5-EF31-4444-8AB4-44300C5458B3}</x14:id>
        </ext>
      </extLst>
    </cfRule>
  </conditionalFormatting>
  <conditionalFormatting sqref="K20">
    <cfRule type="iconSet" priority="35">
      <iconSet>
        <cfvo type="percent" val="0"/>
        <cfvo type="percent" val="33"/>
        <cfvo type="percent" val="50"/>
      </iconSet>
    </cfRule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{9EB9ED4E-5139-4990-9216-A4186C6152E9}</x14:id>
        </ext>
      </extLst>
    </cfRule>
  </conditionalFormatting>
  <conditionalFormatting sqref="I21">
    <cfRule type="iconSet" priority="29">
      <iconSet>
        <cfvo type="percent" val="0"/>
        <cfvo type="percent" val="33"/>
        <cfvo type="percent" val="50"/>
      </iconSet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{04A85E8D-D416-496A-9641-69CA47738DCC}</x14:id>
        </ext>
      </extLst>
    </cfRule>
  </conditionalFormatting>
  <conditionalFormatting sqref="K21">
    <cfRule type="iconSet" priority="31">
      <iconSet>
        <cfvo type="percent" val="0"/>
        <cfvo type="percent" val="33"/>
        <cfvo type="percent" val="50"/>
      </iconSet>
    </cfRule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{C1D62E84-5870-4219-A5B9-4DFFB1320F34}</x14:id>
        </ext>
      </extLst>
    </cfRule>
  </conditionalFormatting>
  <conditionalFormatting sqref="I22">
    <cfRule type="iconSet" priority="25">
      <iconSet>
        <cfvo type="percent" val="0"/>
        <cfvo type="percent" val="33"/>
        <cfvo type="percent" val="50"/>
      </iconSe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{864A2DCB-0FF7-4BB6-A776-623808DE1DCA}</x14:id>
        </ext>
      </extLst>
    </cfRule>
  </conditionalFormatting>
  <conditionalFormatting sqref="K22">
    <cfRule type="iconSet" priority="27">
      <iconSet>
        <cfvo type="percent" val="0"/>
        <cfvo type="percent" val="33"/>
        <cfvo type="percent" val="50"/>
      </iconSet>
    </cfRule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{0699D386-4273-4097-B6DF-FFE1C855EAED}</x14:id>
        </ext>
      </extLst>
    </cfRule>
  </conditionalFormatting>
  <conditionalFormatting sqref="I23">
    <cfRule type="iconSet" priority="21">
      <iconSet>
        <cfvo type="percent" val="0"/>
        <cfvo type="percent" val="33"/>
        <cfvo type="percent" val="50"/>
      </iconSet>
    </cfRule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{C8D60AD5-B148-45CE-8C0B-62C4FD6E3F68}</x14:id>
        </ext>
      </extLst>
    </cfRule>
  </conditionalFormatting>
  <conditionalFormatting sqref="K23">
    <cfRule type="iconSet" priority="23">
      <iconSet>
        <cfvo type="percent" val="0"/>
        <cfvo type="percent" val="33"/>
        <cfvo type="percent" val="50"/>
      </iconSet>
    </cfRule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{90CC83D6-E9A9-4638-8F13-099223969081}</x14:id>
        </ext>
      </extLst>
    </cfRule>
  </conditionalFormatting>
  <conditionalFormatting sqref="I24">
    <cfRule type="iconSet" priority="17">
      <iconSet>
        <cfvo type="percent" val="0"/>
        <cfvo type="percent" val="33"/>
        <cfvo type="percent" val="50"/>
      </iconSe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{25DF37B9-3A89-47FC-9F33-1053F628C756}</x14:id>
        </ext>
      </extLst>
    </cfRule>
  </conditionalFormatting>
  <conditionalFormatting sqref="K24">
    <cfRule type="iconSet" priority="19">
      <iconSet>
        <cfvo type="percent" val="0"/>
        <cfvo type="percent" val="33"/>
        <cfvo type="percent" val="50"/>
      </iconSe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{7BE8EDDD-CE63-4A4B-854A-FA0A850B69E4}</x14:id>
        </ext>
      </extLst>
    </cfRule>
  </conditionalFormatting>
  <conditionalFormatting sqref="I25">
    <cfRule type="iconSet" priority="13">
      <iconSet>
        <cfvo type="percent" val="0"/>
        <cfvo type="percent" val="33"/>
        <cfvo type="percent" val="50"/>
      </iconSe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{D4A4E884-0B99-4C39-B38A-B27F06013925}</x14:id>
        </ext>
      </extLst>
    </cfRule>
  </conditionalFormatting>
  <conditionalFormatting sqref="K25">
    <cfRule type="iconSet" priority="15">
      <iconSet>
        <cfvo type="percent" val="0"/>
        <cfvo type="percent" val="33"/>
        <cfvo type="percent" val="50"/>
      </iconSe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{0C81080A-6C84-4110-BFB3-ABDD066A99BF}</x14:id>
        </ext>
      </extLst>
    </cfRule>
  </conditionalFormatting>
  <conditionalFormatting sqref="I26">
    <cfRule type="iconSet" priority="9">
      <iconSet>
        <cfvo type="percent" val="0"/>
        <cfvo type="percent" val="33"/>
        <cfvo type="percent" val="50"/>
      </iconSe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{DD25BF0D-523B-49F2-934B-E764F0A73D6A}</x14:id>
        </ext>
      </extLst>
    </cfRule>
  </conditionalFormatting>
  <conditionalFormatting sqref="K26">
    <cfRule type="iconSet" priority="11">
      <iconSet>
        <cfvo type="percent" val="0"/>
        <cfvo type="percent" val="33"/>
        <cfvo type="percent" val="50"/>
      </iconSe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{A1635564-F1A9-4012-901C-236593551460}</x14:id>
        </ext>
      </extLst>
    </cfRule>
  </conditionalFormatting>
  <conditionalFormatting sqref="I27">
    <cfRule type="iconSet" priority="5">
      <iconSet>
        <cfvo type="percent" val="0"/>
        <cfvo type="percent" val="33"/>
        <cfvo type="percent" val="50"/>
      </iconSe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{DBF5A0EF-D341-4D4D-85CB-6E700AD3BD27}</x14:id>
        </ext>
      </extLst>
    </cfRule>
  </conditionalFormatting>
  <conditionalFormatting sqref="K27">
    <cfRule type="iconSet" priority="7">
      <iconSet>
        <cfvo type="percent" val="0"/>
        <cfvo type="percent" val="33"/>
        <cfvo type="percent" val="50"/>
      </iconSet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{B4CFF32C-F4BC-4E19-94F0-CE2B80EC0025}</x14:id>
        </ext>
      </extLst>
    </cfRule>
  </conditionalFormatting>
  <conditionalFormatting sqref="I28">
    <cfRule type="iconSet" priority="1">
      <iconSet>
        <cfvo type="percent" val="0"/>
        <cfvo type="percent" val="33"/>
        <cfvo type="percent" val="50"/>
      </iconSe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{9BFBF922-DD49-4BDB-9EC5-01D224C01823}</x14:id>
        </ext>
      </extLst>
    </cfRule>
  </conditionalFormatting>
  <conditionalFormatting sqref="K28">
    <cfRule type="iconSet" priority="3">
      <iconSet>
        <cfvo type="percent" val="0"/>
        <cfvo type="percent" val="33"/>
        <cfvo type="percent" val="50"/>
      </iconSe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{404D5B8E-89FC-4B2C-A09B-92123F94795F}</x14:id>
        </ext>
      </extLst>
    </cfRule>
  </conditionalFormatting>
  <conditionalFormatting sqref="I3:I16">
    <cfRule type="iconSet" priority="823">
      <iconSet>
        <cfvo type="percent" val="0"/>
        <cfvo type="percent" val="33"/>
        <cfvo type="percent" val="50"/>
      </iconSet>
    </cfRule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{EF6B8E8E-6785-40BB-88FF-BF610AD24CA0}</x14:id>
        </ext>
      </extLst>
    </cfRule>
  </conditionalFormatting>
  <conditionalFormatting sqref="K3:K16">
    <cfRule type="iconSet" priority="827">
      <iconSet>
        <cfvo type="percent" val="0"/>
        <cfvo type="percent" val="33"/>
        <cfvo type="percent" val="50"/>
      </iconSet>
    </cfRule>
    <cfRule type="dataBar" priority="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{E3A6DE9E-7406-4C07-AAA2-C0A2AA92FD6F}</x14:id>
        </ext>
      </extLs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8D69A5-D771-4C2B-A2A0-54DEEA41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I17</xm:sqref>
        </x14:conditionalFormatting>
        <x14:conditionalFormatting xmlns:xm="http://schemas.microsoft.com/office/excel/2006/main">
          <x14:cfRule type="dataBar" id="{5DDFFD01-4FBF-4C37-9168-213958786A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D2FFCF2D-474F-49E4-B605-3AE7AA1D2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I18</xm:sqref>
        </x14:conditionalFormatting>
        <x14:conditionalFormatting xmlns:xm="http://schemas.microsoft.com/office/excel/2006/main">
          <x14:cfRule type="dataBar" id="{CD22BCAB-BF30-4A6E-B724-4F3D45140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1D9CBBE0-22F3-434F-B40C-4978AB6D09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I19</xm:sqref>
        </x14:conditionalFormatting>
        <x14:conditionalFormatting xmlns:xm="http://schemas.microsoft.com/office/excel/2006/main">
          <x14:cfRule type="dataBar" id="{579450B1-0E52-433D-BA06-51C8C2941E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D03230A5-EF31-4444-8AB4-44300C5458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I20</xm:sqref>
        </x14:conditionalFormatting>
        <x14:conditionalFormatting xmlns:xm="http://schemas.microsoft.com/office/excel/2006/main">
          <x14:cfRule type="dataBar" id="{9EB9ED4E-5139-4990-9216-A4186C6152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04A85E8D-D416-496A-9641-69CA47738D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I21</xm:sqref>
        </x14:conditionalFormatting>
        <x14:conditionalFormatting xmlns:xm="http://schemas.microsoft.com/office/excel/2006/main">
          <x14:cfRule type="dataBar" id="{C1D62E84-5870-4219-A5B9-4DFFB1320F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864A2DCB-0FF7-4BB6-A776-623808DE1D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I22</xm:sqref>
        </x14:conditionalFormatting>
        <x14:conditionalFormatting xmlns:xm="http://schemas.microsoft.com/office/excel/2006/main">
          <x14:cfRule type="dataBar" id="{0699D386-4273-4097-B6DF-FFE1C855E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C8D60AD5-B148-45CE-8C0B-62C4FD6E3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I23</xm:sqref>
        </x14:conditionalFormatting>
        <x14:conditionalFormatting xmlns:xm="http://schemas.microsoft.com/office/excel/2006/main">
          <x14:cfRule type="dataBar" id="{90CC83D6-E9A9-4638-8F13-0992239690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25DF37B9-3A89-47FC-9F33-1053F628C7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I24</xm:sqref>
        </x14:conditionalFormatting>
        <x14:conditionalFormatting xmlns:xm="http://schemas.microsoft.com/office/excel/2006/main">
          <x14:cfRule type="dataBar" id="{7BE8EDDD-CE63-4A4B-854A-FA0A850B69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D4A4E884-0B99-4C39-B38A-B27F06013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I25</xm:sqref>
        </x14:conditionalFormatting>
        <x14:conditionalFormatting xmlns:xm="http://schemas.microsoft.com/office/excel/2006/main">
          <x14:cfRule type="dataBar" id="{0C81080A-6C84-4110-BFB3-ABDD066A99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DD25BF0D-523B-49F2-934B-E764F0A73D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A1635564-F1A9-4012-901C-236593551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DBF5A0EF-D341-4D4D-85CB-6E700AD3B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I27</xm:sqref>
        </x14:conditionalFormatting>
        <x14:conditionalFormatting xmlns:xm="http://schemas.microsoft.com/office/excel/2006/main">
          <x14:cfRule type="dataBar" id="{B4CFF32C-F4BC-4E19-94F0-CE2B80EC0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9BFBF922-DD49-4BDB-9EC5-01D224C018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I28</xm:sqref>
        </x14:conditionalFormatting>
        <x14:conditionalFormatting xmlns:xm="http://schemas.microsoft.com/office/excel/2006/main">
          <x14:cfRule type="dataBar" id="{404D5B8E-89FC-4B2C-A09B-92123F9479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EF6B8E8E-6785-40BB-88FF-BF610AD24C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I3:I16</xm:sqref>
        </x14:conditionalFormatting>
        <x14:conditionalFormatting xmlns:xm="http://schemas.microsoft.com/office/excel/2006/main">
          <x14:cfRule type="dataBar" id="{E3A6DE9E-7406-4C07-AAA2-C0A2AA92FD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24"/>
  <sheetViews>
    <sheetView workbookViewId="0">
      <selection activeCell="D15" sqref="D15"/>
    </sheetView>
  </sheetViews>
  <sheetFormatPr baseColWidth="10" defaultRowHeight="15" x14ac:dyDescent="0.25"/>
  <cols>
    <col min="1" max="1" width="18.28515625" bestFit="1" customWidth="1"/>
    <col min="2" max="2" width="14.42578125" customWidth="1"/>
    <col min="3" max="3" width="14" bestFit="1" customWidth="1"/>
    <col min="4" max="4" width="19.28515625" bestFit="1" customWidth="1"/>
  </cols>
  <sheetData>
    <row r="1" spans="1:4" x14ac:dyDescent="0.25">
      <c r="A1" s="13" t="s">
        <v>20</v>
      </c>
      <c r="B1" s="13"/>
      <c r="C1" s="13" t="s">
        <v>16</v>
      </c>
      <c r="D1" s="13" t="s">
        <v>21</v>
      </c>
    </row>
    <row r="2" spans="1:4" ht="14.45" x14ac:dyDescent="0.3">
      <c r="A2" s="14" t="s">
        <v>12</v>
      </c>
      <c r="B2" s="14" t="s">
        <v>17</v>
      </c>
      <c r="C2" s="14">
        <v>1</v>
      </c>
      <c r="D2" s="14"/>
    </row>
    <row r="3" spans="1:4" ht="14.45" x14ac:dyDescent="0.3">
      <c r="A3" s="14" t="s">
        <v>11</v>
      </c>
      <c r="B3" s="14" t="s">
        <v>17</v>
      </c>
      <c r="C3" s="14">
        <v>1</v>
      </c>
      <c r="D3" s="14"/>
    </row>
    <row r="4" spans="1:4" ht="14.45" x14ac:dyDescent="0.3">
      <c r="A4" s="6" t="s">
        <v>10</v>
      </c>
      <c r="B4" s="6" t="s">
        <v>27</v>
      </c>
      <c r="C4" s="6">
        <v>2</v>
      </c>
      <c r="D4" s="6">
        <v>8</v>
      </c>
    </row>
    <row r="5" spans="1:4" ht="14.45" x14ac:dyDescent="0.3">
      <c r="A5" s="6" t="s">
        <v>9</v>
      </c>
      <c r="B5" s="6" t="s">
        <v>27</v>
      </c>
      <c r="C5" s="6">
        <v>3</v>
      </c>
      <c r="D5" s="6">
        <v>10</v>
      </c>
    </row>
    <row r="6" spans="1:4" ht="14.45" x14ac:dyDescent="0.3">
      <c r="A6" s="6" t="s">
        <v>8</v>
      </c>
      <c r="B6" s="6" t="s">
        <v>27</v>
      </c>
      <c r="C6" s="6">
        <v>4</v>
      </c>
      <c r="D6" s="6">
        <v>12</v>
      </c>
    </row>
    <row r="7" spans="1:4" ht="14.45" x14ac:dyDescent="0.3">
      <c r="A7" s="6" t="s">
        <v>7</v>
      </c>
      <c r="B7" s="6" t="s">
        <v>27</v>
      </c>
      <c r="C7" s="6">
        <v>5</v>
      </c>
      <c r="D7" s="6">
        <v>16</v>
      </c>
    </row>
    <row r="8" spans="1:4" ht="14.45" x14ac:dyDescent="0.3">
      <c r="A8" s="6" t="s">
        <v>6</v>
      </c>
      <c r="B8" s="6" t="s">
        <v>27</v>
      </c>
      <c r="C8" s="6">
        <v>6</v>
      </c>
      <c r="D8" s="6"/>
    </row>
    <row r="9" spans="1:4" ht="14.45" x14ac:dyDescent="0.3">
      <c r="A9" s="6" t="s">
        <v>5</v>
      </c>
      <c r="B9" s="6" t="s">
        <v>27</v>
      </c>
      <c r="C9" s="6">
        <v>7</v>
      </c>
      <c r="D9" s="6"/>
    </row>
    <row r="10" spans="1:4" ht="14.45" x14ac:dyDescent="0.3">
      <c r="A10" s="15" t="s">
        <v>4</v>
      </c>
      <c r="B10" s="15" t="s">
        <v>5</v>
      </c>
      <c r="C10" s="15">
        <v>8</v>
      </c>
      <c r="D10" s="15"/>
    </row>
    <row r="11" spans="1:4" ht="14.45" x14ac:dyDescent="0.3">
      <c r="A11" s="15" t="s">
        <v>23</v>
      </c>
      <c r="B11" s="15" t="s">
        <v>5</v>
      </c>
      <c r="C11" s="15">
        <v>9</v>
      </c>
      <c r="D11" s="15"/>
    </row>
    <row r="12" spans="1:4" ht="14.45" x14ac:dyDescent="0.3">
      <c r="A12" s="15" t="s">
        <v>22</v>
      </c>
      <c r="B12" s="15" t="s">
        <v>5</v>
      </c>
      <c r="C12" s="15">
        <v>10</v>
      </c>
      <c r="D12" s="15"/>
    </row>
    <row r="13" spans="1:4" ht="14.45" x14ac:dyDescent="0.3">
      <c r="A13" s="15" t="s">
        <v>24</v>
      </c>
      <c r="B13" s="15" t="s">
        <v>5</v>
      </c>
      <c r="C13" s="15">
        <v>11</v>
      </c>
      <c r="D13" s="15"/>
    </row>
    <row r="14" spans="1:4" ht="14.45" x14ac:dyDescent="0.3">
      <c r="A14" s="16" t="s">
        <v>3</v>
      </c>
      <c r="B14" s="16" t="s">
        <v>28</v>
      </c>
      <c r="C14" s="16">
        <v>12</v>
      </c>
      <c r="D14" s="16"/>
    </row>
    <row r="15" spans="1:4" ht="14.45" x14ac:dyDescent="0.3">
      <c r="A15" s="16" t="s">
        <v>2</v>
      </c>
      <c r="B15" s="16" t="s">
        <v>28</v>
      </c>
      <c r="C15" s="16">
        <v>13</v>
      </c>
      <c r="D15" s="16"/>
    </row>
    <row r="16" spans="1:4" ht="14.45" x14ac:dyDescent="0.3">
      <c r="A16" s="16" t="s">
        <v>25</v>
      </c>
      <c r="B16" s="16" t="s">
        <v>28</v>
      </c>
      <c r="C16" s="16">
        <v>14</v>
      </c>
      <c r="D16" s="16"/>
    </row>
    <row r="17" spans="1:4" ht="14.45" x14ac:dyDescent="0.3">
      <c r="A17" s="16" t="s">
        <v>26</v>
      </c>
      <c r="B17" s="16" t="s">
        <v>28</v>
      </c>
      <c r="C17" s="16">
        <v>15</v>
      </c>
      <c r="D17" s="16"/>
    </row>
    <row r="18" spans="1:4" x14ac:dyDescent="0.25">
      <c r="A18" s="17" t="s">
        <v>18</v>
      </c>
      <c r="B18" s="17" t="s">
        <v>29</v>
      </c>
      <c r="C18" s="17">
        <v>16</v>
      </c>
      <c r="D18" s="17"/>
    </row>
    <row r="19" spans="1:4" x14ac:dyDescent="0.25">
      <c r="A19" s="17" t="s">
        <v>19</v>
      </c>
      <c r="B19" s="17" t="s">
        <v>29</v>
      </c>
      <c r="C19" s="17">
        <v>17</v>
      </c>
      <c r="D19" s="17"/>
    </row>
    <row r="22" spans="1:4" x14ac:dyDescent="0.25">
      <c r="A22" s="36"/>
      <c r="B22" s="54" t="s">
        <v>45</v>
      </c>
      <c r="C22" s="54"/>
      <c r="D22" s="54"/>
    </row>
    <row r="23" spans="1:4" x14ac:dyDescent="0.25">
      <c r="A23" s="38"/>
      <c r="B23" s="54" t="s">
        <v>44</v>
      </c>
      <c r="C23" s="54"/>
      <c r="D23" s="54"/>
    </row>
    <row r="24" spans="1:4" ht="14.45" x14ac:dyDescent="0.3">
      <c r="A24" s="39"/>
      <c r="B24" s="54" t="s">
        <v>46</v>
      </c>
      <c r="C24" s="54"/>
      <c r="D24" s="54"/>
    </row>
  </sheetData>
  <mergeCells count="3">
    <mergeCell ref="B22:D22"/>
    <mergeCell ref="B23:D23"/>
    <mergeCell ref="B24:D24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3"/>
  <sheetViews>
    <sheetView workbookViewId="0">
      <selection activeCell="F6" sqref="F6"/>
    </sheetView>
  </sheetViews>
  <sheetFormatPr baseColWidth="10" defaultRowHeight="15" x14ac:dyDescent="0.25"/>
  <cols>
    <col min="3" max="3" width="12.42578125" customWidth="1"/>
    <col min="5" max="5" width="15" customWidth="1"/>
    <col min="6" max="6" width="19" customWidth="1"/>
  </cols>
  <sheetData>
    <row r="2" spans="2:6" x14ac:dyDescent="0.25">
      <c r="B2" s="40" t="s">
        <v>12</v>
      </c>
      <c r="C2" s="41" t="s">
        <v>87</v>
      </c>
      <c r="D2" s="42" t="s">
        <v>83</v>
      </c>
      <c r="E2" s="42" t="s">
        <v>84</v>
      </c>
      <c r="F2" s="43" t="s">
        <v>86</v>
      </c>
    </row>
    <row r="3" spans="2:6" ht="14.45" x14ac:dyDescent="0.3">
      <c r="B3" s="44" t="s">
        <v>12</v>
      </c>
      <c r="C3" s="6" t="s">
        <v>38</v>
      </c>
      <c r="D3" s="12">
        <v>45699</v>
      </c>
      <c r="E3" s="45" t="s">
        <v>85</v>
      </c>
      <c r="F3" s="46">
        <v>0.28000000000000003</v>
      </c>
    </row>
    <row r="4" spans="2:6" ht="14.45" x14ac:dyDescent="0.3">
      <c r="B4" s="44" t="s">
        <v>12</v>
      </c>
      <c r="C4" s="6" t="s">
        <v>43</v>
      </c>
      <c r="D4" s="12">
        <v>45716</v>
      </c>
      <c r="E4" s="45" t="s">
        <v>85</v>
      </c>
      <c r="F4" s="46">
        <v>0.33</v>
      </c>
    </row>
    <row r="5" spans="2:6" ht="14.45" x14ac:dyDescent="0.3">
      <c r="B5" s="44" t="s">
        <v>12</v>
      </c>
      <c r="C5" s="6" t="s">
        <v>47</v>
      </c>
      <c r="D5" s="12">
        <v>45723</v>
      </c>
      <c r="E5" s="45" t="s">
        <v>85</v>
      </c>
      <c r="F5" s="46">
        <v>0.37</v>
      </c>
    </row>
    <row r="6" spans="2:6" ht="14.45" x14ac:dyDescent="0.3">
      <c r="B6" s="44" t="s">
        <v>12</v>
      </c>
      <c r="C6" s="6" t="s">
        <v>48</v>
      </c>
      <c r="D6" s="12">
        <v>45737</v>
      </c>
      <c r="E6" s="45" t="s">
        <v>85</v>
      </c>
      <c r="F6" s="47">
        <v>0.9</v>
      </c>
    </row>
    <row r="7" spans="2:6" ht="14.45" x14ac:dyDescent="0.3">
      <c r="B7" s="44" t="s">
        <v>12</v>
      </c>
      <c r="C7" s="6" t="s">
        <v>51</v>
      </c>
      <c r="D7" s="12">
        <v>45749</v>
      </c>
      <c r="E7" s="45" t="s">
        <v>85</v>
      </c>
      <c r="F7" s="46">
        <v>0.14000000000000001</v>
      </c>
    </row>
    <row r="8" spans="2:6" ht="14.45" x14ac:dyDescent="0.3">
      <c r="B8" s="44" t="s">
        <v>12</v>
      </c>
      <c r="C8" s="6" t="s">
        <v>52</v>
      </c>
      <c r="D8" s="12">
        <v>45750</v>
      </c>
      <c r="E8" s="45" t="s">
        <v>85</v>
      </c>
      <c r="F8" s="47">
        <v>0.83</v>
      </c>
    </row>
    <row r="9" spans="2:6" ht="14.45" x14ac:dyDescent="0.3">
      <c r="B9" s="44" t="s">
        <v>12</v>
      </c>
      <c r="C9" s="6" t="s">
        <v>55</v>
      </c>
      <c r="D9" s="12">
        <v>45756</v>
      </c>
      <c r="E9" s="45" t="s">
        <v>85</v>
      </c>
      <c r="F9" s="46">
        <v>0.4</v>
      </c>
    </row>
    <row r="10" spans="2:6" ht="14.45" x14ac:dyDescent="0.3">
      <c r="B10" s="44" t="s">
        <v>12</v>
      </c>
      <c r="C10" s="6" t="s">
        <v>53</v>
      </c>
      <c r="D10" s="12">
        <v>45755</v>
      </c>
      <c r="E10" s="45" t="s">
        <v>85</v>
      </c>
      <c r="F10" s="47">
        <v>0.6</v>
      </c>
    </row>
    <row r="11" spans="2:6" ht="14.45" x14ac:dyDescent="0.3">
      <c r="B11" s="44" t="s">
        <v>12</v>
      </c>
      <c r="C11" s="6" t="s">
        <v>54</v>
      </c>
      <c r="D11" s="12">
        <v>45756</v>
      </c>
      <c r="E11" s="45" t="s">
        <v>85</v>
      </c>
      <c r="F11" s="47">
        <v>0.6</v>
      </c>
    </row>
    <row r="12" spans="2:6" ht="14.45" x14ac:dyDescent="0.3">
      <c r="B12" s="44" t="s">
        <v>12</v>
      </c>
      <c r="C12" s="6" t="s">
        <v>56</v>
      </c>
      <c r="D12" s="12">
        <v>45757</v>
      </c>
      <c r="E12" s="45" t="s">
        <v>85</v>
      </c>
      <c r="F12" s="47">
        <v>1</v>
      </c>
    </row>
    <row r="13" spans="2:6" ht="14.45" x14ac:dyDescent="0.3">
      <c r="B13" s="44" t="s">
        <v>12</v>
      </c>
      <c r="C13" s="6" t="s">
        <v>66</v>
      </c>
      <c r="D13" s="12">
        <v>45757</v>
      </c>
      <c r="E13" s="45" t="s">
        <v>85</v>
      </c>
      <c r="F13" s="47">
        <v>0.75</v>
      </c>
    </row>
    <row r="14" spans="2:6" ht="14.45" x14ac:dyDescent="0.3">
      <c r="B14" s="44" t="s">
        <v>12</v>
      </c>
      <c r="C14" s="6" t="s">
        <v>57</v>
      </c>
      <c r="D14" s="12">
        <v>45755</v>
      </c>
      <c r="E14" s="45" t="s">
        <v>85</v>
      </c>
      <c r="F14" s="47">
        <v>0.4</v>
      </c>
    </row>
    <row r="15" spans="2:6" ht="14.45" x14ac:dyDescent="0.3">
      <c r="B15" s="44" t="s">
        <v>12</v>
      </c>
      <c r="C15" s="6" t="s">
        <v>59</v>
      </c>
      <c r="D15" s="12">
        <v>45759</v>
      </c>
      <c r="E15" s="45" t="s">
        <v>85</v>
      </c>
      <c r="F15" s="47">
        <v>0.33</v>
      </c>
    </row>
    <row r="16" spans="2:6" ht="14.45" x14ac:dyDescent="0.3">
      <c r="B16" s="44" t="s">
        <v>12</v>
      </c>
      <c r="C16" s="6" t="s">
        <v>58</v>
      </c>
      <c r="D16" s="12">
        <v>45757</v>
      </c>
      <c r="E16" s="45" t="s">
        <v>85</v>
      </c>
      <c r="F16" s="47">
        <v>0.25</v>
      </c>
    </row>
    <row r="17" spans="2:6" ht="14.45" x14ac:dyDescent="0.3">
      <c r="B17" s="44" t="s">
        <v>12</v>
      </c>
      <c r="C17" s="6" t="s">
        <v>60</v>
      </c>
      <c r="D17" s="12">
        <v>45759</v>
      </c>
      <c r="E17" s="45" t="s">
        <v>85</v>
      </c>
      <c r="F17" s="47">
        <v>0</v>
      </c>
    </row>
    <row r="18" spans="2:6" ht="14.45" x14ac:dyDescent="0.3">
      <c r="B18" s="44" t="s">
        <v>12</v>
      </c>
      <c r="C18" s="6" t="s">
        <v>61</v>
      </c>
      <c r="D18" s="12">
        <v>45760</v>
      </c>
      <c r="E18" s="45" t="s">
        <v>85</v>
      </c>
      <c r="F18" s="47">
        <v>0</v>
      </c>
    </row>
    <row r="19" spans="2:6" ht="14.45" x14ac:dyDescent="0.3">
      <c r="B19" s="44" t="s">
        <v>12</v>
      </c>
      <c r="C19" s="6" t="s">
        <v>62</v>
      </c>
      <c r="D19" s="12">
        <v>45761</v>
      </c>
      <c r="E19" s="45" t="s">
        <v>85</v>
      </c>
      <c r="F19" s="47">
        <v>1</v>
      </c>
    </row>
    <row r="20" spans="2:6" ht="14.45" x14ac:dyDescent="0.3">
      <c r="B20" s="44" t="s">
        <v>12</v>
      </c>
      <c r="C20" s="6" t="s">
        <v>63</v>
      </c>
      <c r="D20" s="12">
        <v>45762</v>
      </c>
      <c r="E20" s="45" t="s">
        <v>85</v>
      </c>
      <c r="F20" s="47">
        <v>1</v>
      </c>
    </row>
    <row r="21" spans="2:6" ht="14.45" x14ac:dyDescent="0.3">
      <c r="B21" s="44" t="s">
        <v>12</v>
      </c>
      <c r="C21" s="6" t="s">
        <v>64</v>
      </c>
      <c r="D21" s="12">
        <v>45762</v>
      </c>
      <c r="E21" s="45" t="s">
        <v>85</v>
      </c>
      <c r="F21" s="47">
        <v>1</v>
      </c>
    </row>
    <row r="22" spans="2:6" ht="14.45" x14ac:dyDescent="0.3">
      <c r="B22" s="44" t="s">
        <v>12</v>
      </c>
      <c r="C22" s="6" t="s">
        <v>65</v>
      </c>
      <c r="D22" s="12">
        <v>45762</v>
      </c>
      <c r="E22" s="45" t="s">
        <v>85</v>
      </c>
      <c r="F22" s="47">
        <v>0.5</v>
      </c>
    </row>
    <row r="23" spans="2:6" ht="14.45" x14ac:dyDescent="0.3">
      <c r="B23" s="44" t="s">
        <v>12</v>
      </c>
      <c r="C23" s="6" t="s">
        <v>67</v>
      </c>
      <c r="D23" s="12">
        <v>45764</v>
      </c>
      <c r="E23" s="45" t="s">
        <v>85</v>
      </c>
      <c r="F23" s="47">
        <v>1</v>
      </c>
    </row>
    <row r="24" spans="2:6" ht="14.45" x14ac:dyDescent="0.3">
      <c r="B24" s="44" t="s">
        <v>12</v>
      </c>
      <c r="C24" s="6" t="s">
        <v>68</v>
      </c>
      <c r="D24" s="12">
        <v>45766</v>
      </c>
      <c r="E24" s="45" t="s">
        <v>85</v>
      </c>
      <c r="F24" s="47">
        <v>1</v>
      </c>
    </row>
    <row r="25" spans="2:6" ht="14.45" x14ac:dyDescent="0.3">
      <c r="B25" s="44" t="s">
        <v>12</v>
      </c>
      <c r="C25" s="6" t="s">
        <v>69</v>
      </c>
      <c r="D25" s="12">
        <v>45766</v>
      </c>
      <c r="E25" s="45" t="s">
        <v>85</v>
      </c>
      <c r="F25" s="47">
        <v>0</v>
      </c>
    </row>
    <row r="26" spans="2:6" ht="14.45" x14ac:dyDescent="0.3">
      <c r="B26" s="44" t="s">
        <v>12</v>
      </c>
      <c r="C26" s="6" t="s">
        <v>70</v>
      </c>
      <c r="D26" s="12">
        <v>45766</v>
      </c>
      <c r="E26" s="45" t="s">
        <v>85</v>
      </c>
      <c r="F26" s="47">
        <v>0</v>
      </c>
    </row>
    <row r="27" spans="2:6" ht="14.45" x14ac:dyDescent="0.3">
      <c r="B27" s="44" t="s">
        <v>12</v>
      </c>
      <c r="C27" s="6" t="s">
        <v>71</v>
      </c>
      <c r="D27" s="12">
        <v>45766</v>
      </c>
      <c r="E27" s="45" t="s">
        <v>85</v>
      </c>
      <c r="F27" s="47">
        <v>1</v>
      </c>
    </row>
    <row r="28" spans="2:6" ht="14.45" x14ac:dyDescent="0.3">
      <c r="B28" s="44" t="s">
        <v>12</v>
      </c>
      <c r="C28" s="6" t="s">
        <v>72</v>
      </c>
      <c r="D28" s="12">
        <v>45766</v>
      </c>
      <c r="E28" s="45" t="s">
        <v>85</v>
      </c>
      <c r="F28" s="47">
        <v>0</v>
      </c>
    </row>
    <row r="29" spans="2:6" ht="14.45" x14ac:dyDescent="0.3">
      <c r="B29" s="44" t="s">
        <v>12</v>
      </c>
      <c r="C29" s="6" t="s">
        <v>73</v>
      </c>
      <c r="D29" s="12">
        <v>45766</v>
      </c>
      <c r="E29" s="45" t="s">
        <v>85</v>
      </c>
      <c r="F29" s="47">
        <v>1</v>
      </c>
    </row>
    <row r="30" spans="2:6" ht="14.45" x14ac:dyDescent="0.3">
      <c r="B30" s="44" t="s">
        <v>12</v>
      </c>
      <c r="C30" s="6" t="s">
        <v>74</v>
      </c>
      <c r="D30" s="12">
        <v>45766</v>
      </c>
      <c r="E30" s="45" t="s">
        <v>85</v>
      </c>
      <c r="F30" s="47">
        <v>0</v>
      </c>
    </row>
    <row r="31" spans="2:6" ht="14.45" x14ac:dyDescent="0.3">
      <c r="B31" s="44" t="s">
        <v>12</v>
      </c>
      <c r="C31" s="6" t="s">
        <v>75</v>
      </c>
      <c r="D31" s="12">
        <v>45767</v>
      </c>
      <c r="E31" s="45" t="s">
        <v>85</v>
      </c>
      <c r="F31" s="47">
        <v>0</v>
      </c>
    </row>
    <row r="32" spans="2:6" ht="14.45" x14ac:dyDescent="0.3">
      <c r="B32" s="44" t="s">
        <v>12</v>
      </c>
      <c r="C32" s="6" t="s">
        <v>76</v>
      </c>
      <c r="D32" s="12">
        <v>45768</v>
      </c>
      <c r="E32" s="45" t="s">
        <v>85</v>
      </c>
      <c r="F32" s="47">
        <v>0</v>
      </c>
    </row>
    <row r="33" spans="2:6" ht="14.45" x14ac:dyDescent="0.3">
      <c r="B33" s="44" t="s">
        <v>12</v>
      </c>
      <c r="C33" s="6" t="s">
        <v>77</v>
      </c>
      <c r="D33" s="12">
        <v>45768</v>
      </c>
      <c r="E33" s="45" t="s">
        <v>85</v>
      </c>
      <c r="F33" s="47">
        <v>0</v>
      </c>
    </row>
    <row r="34" spans="2:6" ht="14.45" x14ac:dyDescent="0.3">
      <c r="B34" s="44" t="s">
        <v>12</v>
      </c>
      <c r="C34" s="6" t="s">
        <v>78</v>
      </c>
      <c r="D34" s="12">
        <v>45768</v>
      </c>
      <c r="E34" s="45" t="s">
        <v>85</v>
      </c>
      <c r="F34" s="47">
        <v>0</v>
      </c>
    </row>
    <row r="35" spans="2:6" ht="14.45" x14ac:dyDescent="0.3">
      <c r="B35" s="44" t="s">
        <v>12</v>
      </c>
      <c r="C35" s="6" t="s">
        <v>79</v>
      </c>
      <c r="D35" s="12">
        <v>45769</v>
      </c>
      <c r="E35" s="45" t="s">
        <v>85</v>
      </c>
      <c r="F35" s="47">
        <v>0</v>
      </c>
    </row>
    <row r="36" spans="2:6" ht="14.45" x14ac:dyDescent="0.3">
      <c r="B36" s="44" t="s">
        <v>12</v>
      </c>
      <c r="C36" s="6" t="s">
        <v>80</v>
      </c>
      <c r="D36" s="12">
        <v>45769</v>
      </c>
      <c r="E36" s="45" t="s">
        <v>85</v>
      </c>
      <c r="F36" s="47">
        <v>0</v>
      </c>
    </row>
    <row r="37" spans="2:6" ht="14.45" x14ac:dyDescent="0.3">
      <c r="B37" s="44" t="s">
        <v>12</v>
      </c>
      <c r="C37" s="6" t="s">
        <v>81</v>
      </c>
      <c r="D37" s="12">
        <v>45769</v>
      </c>
      <c r="E37" s="45" t="s">
        <v>85</v>
      </c>
      <c r="F37" s="47">
        <v>0</v>
      </c>
    </row>
    <row r="38" spans="2:6" ht="14.45" x14ac:dyDescent="0.3">
      <c r="B38" s="48" t="s">
        <v>12</v>
      </c>
      <c r="C38" s="49" t="s">
        <v>82</v>
      </c>
      <c r="D38" s="50">
        <v>45769</v>
      </c>
      <c r="E38" s="51" t="s">
        <v>85</v>
      </c>
      <c r="F38" s="52">
        <v>0</v>
      </c>
    </row>
    <row r="39" spans="2:6" ht="14.45" x14ac:dyDescent="0.3">
      <c r="B39" s="48" t="s">
        <v>12</v>
      </c>
      <c r="C39" s="33" t="s">
        <v>88</v>
      </c>
      <c r="D39" s="50">
        <v>45770</v>
      </c>
      <c r="E39" s="51" t="s">
        <v>85</v>
      </c>
      <c r="F39" s="52">
        <v>1</v>
      </c>
    </row>
    <row r="40" spans="2:6" ht="14.45" x14ac:dyDescent="0.3">
      <c r="B40" s="48" t="s">
        <v>12</v>
      </c>
      <c r="C40" s="33" t="s">
        <v>89</v>
      </c>
      <c r="D40" s="50">
        <v>45771</v>
      </c>
      <c r="E40" s="51" t="s">
        <v>85</v>
      </c>
      <c r="F40" s="52">
        <v>2</v>
      </c>
    </row>
    <row r="41" spans="2:6" ht="14.45" x14ac:dyDescent="0.3">
      <c r="B41" s="48" t="s">
        <v>12</v>
      </c>
      <c r="C41" s="33" t="s">
        <v>90</v>
      </c>
      <c r="D41" s="50">
        <v>45772</v>
      </c>
      <c r="E41" s="51" t="s">
        <v>85</v>
      </c>
      <c r="F41" s="52">
        <v>3</v>
      </c>
    </row>
    <row r="42" spans="2:6" ht="14.45" x14ac:dyDescent="0.3">
      <c r="B42" s="48" t="s">
        <v>12</v>
      </c>
      <c r="C42" s="33" t="s">
        <v>91</v>
      </c>
      <c r="D42" s="50">
        <v>45773</v>
      </c>
      <c r="E42" s="51" t="s">
        <v>85</v>
      </c>
      <c r="F42" s="52">
        <v>4</v>
      </c>
    </row>
    <row r="43" spans="2:6" ht="14.45" x14ac:dyDescent="0.3">
      <c r="B43" s="48" t="s">
        <v>12</v>
      </c>
      <c r="C43" s="33" t="s">
        <v>92</v>
      </c>
      <c r="D43" s="50">
        <v>45774</v>
      </c>
      <c r="E43" s="51" t="s">
        <v>85</v>
      </c>
      <c r="F43" s="52">
        <v>5</v>
      </c>
    </row>
    <row r="44" spans="2:6" x14ac:dyDescent="0.25">
      <c r="B44" s="48" t="s">
        <v>12</v>
      </c>
      <c r="C44" s="33" t="s">
        <v>93</v>
      </c>
      <c r="D44" s="50">
        <v>45775</v>
      </c>
      <c r="E44" s="51" t="s">
        <v>85</v>
      </c>
      <c r="F44" s="52">
        <v>6</v>
      </c>
    </row>
    <row r="45" spans="2:6" x14ac:dyDescent="0.25">
      <c r="B45" s="48" t="s">
        <v>12</v>
      </c>
      <c r="C45" s="33" t="s">
        <v>94</v>
      </c>
      <c r="D45" s="50">
        <v>45776</v>
      </c>
      <c r="E45" s="51" t="s">
        <v>85</v>
      </c>
      <c r="F45" s="52">
        <v>7</v>
      </c>
    </row>
    <row r="46" spans="2:6" x14ac:dyDescent="0.25">
      <c r="B46" s="48" t="s">
        <v>12</v>
      </c>
      <c r="C46" s="33" t="s">
        <v>95</v>
      </c>
      <c r="D46" s="50">
        <v>45777</v>
      </c>
      <c r="E46" s="51" t="s">
        <v>85</v>
      </c>
      <c r="F46" s="52">
        <v>8</v>
      </c>
    </row>
    <row r="47" spans="2:6" x14ac:dyDescent="0.25">
      <c r="B47" s="48" t="s">
        <v>12</v>
      </c>
      <c r="C47" s="33" t="s">
        <v>96</v>
      </c>
      <c r="D47" s="50">
        <v>45778</v>
      </c>
      <c r="E47" s="51" t="s">
        <v>85</v>
      </c>
      <c r="F47" s="52">
        <v>9</v>
      </c>
    </row>
    <row r="48" spans="2:6" x14ac:dyDescent="0.25">
      <c r="B48" s="48" t="s">
        <v>12</v>
      </c>
      <c r="C48" s="33" t="s">
        <v>100</v>
      </c>
      <c r="D48" s="50">
        <v>45779</v>
      </c>
      <c r="E48" s="51" t="s">
        <v>85</v>
      </c>
      <c r="F48" s="52">
        <v>10</v>
      </c>
    </row>
    <row r="49" spans="2:6" x14ac:dyDescent="0.25">
      <c r="B49" s="48" t="s">
        <v>12</v>
      </c>
      <c r="C49" s="33" t="s">
        <v>101</v>
      </c>
      <c r="D49" s="50">
        <v>45780</v>
      </c>
      <c r="E49" s="51" t="s">
        <v>85</v>
      </c>
      <c r="F49" s="52">
        <v>11</v>
      </c>
    </row>
    <row r="50" spans="2:6" x14ac:dyDescent="0.25">
      <c r="B50" s="48" t="s">
        <v>12</v>
      </c>
      <c r="C50" s="33" t="s">
        <v>102</v>
      </c>
      <c r="D50" s="50">
        <v>45781</v>
      </c>
      <c r="E50" s="51" t="s">
        <v>85</v>
      </c>
      <c r="F50" s="52">
        <v>12</v>
      </c>
    </row>
    <row r="51" spans="2:6" x14ac:dyDescent="0.25">
      <c r="B51" s="48" t="s">
        <v>12</v>
      </c>
      <c r="C51" s="33" t="s">
        <v>103</v>
      </c>
      <c r="D51" s="50">
        <v>45782</v>
      </c>
      <c r="E51" s="51" t="s">
        <v>85</v>
      </c>
      <c r="F51" s="52">
        <v>13</v>
      </c>
    </row>
    <row r="52" spans="2:6" x14ac:dyDescent="0.25">
      <c r="B52" s="48" t="s">
        <v>12</v>
      </c>
      <c r="C52" s="33" t="s">
        <v>104</v>
      </c>
      <c r="D52" s="50">
        <v>45783</v>
      </c>
      <c r="E52" s="51" t="s">
        <v>85</v>
      </c>
      <c r="F52" s="52">
        <v>14</v>
      </c>
    </row>
    <row r="53" spans="2:6" x14ac:dyDescent="0.25">
      <c r="B53" s="48" t="s">
        <v>12</v>
      </c>
      <c r="C53" s="33" t="s">
        <v>105</v>
      </c>
      <c r="D53" s="50">
        <v>45784</v>
      </c>
      <c r="E53" s="51" t="s">
        <v>85</v>
      </c>
      <c r="F53" s="52">
        <v>15</v>
      </c>
    </row>
    <row r="54" spans="2:6" x14ac:dyDescent="0.25">
      <c r="B54" s="48" t="s">
        <v>12</v>
      </c>
      <c r="C54" s="33" t="s">
        <v>106</v>
      </c>
      <c r="D54" s="50">
        <v>45785</v>
      </c>
      <c r="E54" s="51" t="s">
        <v>85</v>
      </c>
      <c r="F54" s="52">
        <v>16</v>
      </c>
    </row>
    <row r="55" spans="2:6" x14ac:dyDescent="0.25">
      <c r="B55" s="48" t="s">
        <v>12</v>
      </c>
      <c r="C55" s="33" t="s">
        <v>107</v>
      </c>
      <c r="D55" s="50">
        <v>45786</v>
      </c>
      <c r="E55" s="51" t="s">
        <v>85</v>
      </c>
      <c r="F55" s="52">
        <v>17</v>
      </c>
    </row>
    <row r="56" spans="2:6" x14ac:dyDescent="0.25">
      <c r="B56" s="48" t="s">
        <v>12</v>
      </c>
      <c r="C56" s="33" t="s">
        <v>108</v>
      </c>
      <c r="D56" s="50">
        <v>45787</v>
      </c>
      <c r="E56" s="51" t="s">
        <v>85</v>
      </c>
      <c r="F56" s="52">
        <v>18</v>
      </c>
    </row>
    <row r="57" spans="2:6" x14ac:dyDescent="0.25">
      <c r="B57" s="48" t="s">
        <v>12</v>
      </c>
      <c r="C57" s="33" t="s">
        <v>109</v>
      </c>
      <c r="D57" s="50">
        <v>45788</v>
      </c>
      <c r="E57" s="51" t="s">
        <v>85</v>
      </c>
      <c r="F57" s="52">
        <v>19</v>
      </c>
    </row>
    <row r="58" spans="2:6" x14ac:dyDescent="0.25">
      <c r="B58" s="48" t="s">
        <v>12</v>
      </c>
      <c r="C58" s="33" t="s">
        <v>110</v>
      </c>
      <c r="D58" s="50">
        <v>45789</v>
      </c>
      <c r="E58" s="51" t="s">
        <v>85</v>
      </c>
      <c r="F58" s="52">
        <v>20</v>
      </c>
    </row>
    <row r="59" spans="2:6" x14ac:dyDescent="0.25">
      <c r="B59" s="48" t="s">
        <v>12</v>
      </c>
      <c r="C59" s="33" t="s">
        <v>111</v>
      </c>
      <c r="D59" s="50">
        <v>45790</v>
      </c>
      <c r="E59" s="51" t="s">
        <v>85</v>
      </c>
      <c r="F59" s="52">
        <v>21</v>
      </c>
    </row>
    <row r="60" spans="2:6" x14ac:dyDescent="0.25">
      <c r="B60" s="48" t="s">
        <v>12</v>
      </c>
      <c r="C60" s="33" t="s">
        <v>112</v>
      </c>
      <c r="D60" s="50">
        <v>45791</v>
      </c>
      <c r="E60" s="51" t="s">
        <v>85</v>
      </c>
      <c r="F60" s="52">
        <v>22</v>
      </c>
    </row>
    <row r="61" spans="2:6" x14ac:dyDescent="0.25">
      <c r="B61" s="48" t="s">
        <v>12</v>
      </c>
      <c r="C61" s="33" t="s">
        <v>99</v>
      </c>
      <c r="D61" s="50">
        <v>45792</v>
      </c>
      <c r="E61" s="51" t="s">
        <v>85</v>
      </c>
      <c r="F61" s="52">
        <v>23</v>
      </c>
    </row>
    <row r="62" spans="2:6" x14ac:dyDescent="0.25">
      <c r="B62" s="48" t="s">
        <v>12</v>
      </c>
      <c r="C62" s="33" t="s">
        <v>97</v>
      </c>
      <c r="D62" s="50">
        <v>45793</v>
      </c>
      <c r="E62" s="51" t="s">
        <v>85</v>
      </c>
      <c r="F62" s="52">
        <v>24</v>
      </c>
    </row>
    <row r="63" spans="2:6" x14ac:dyDescent="0.25">
      <c r="B63" s="48" t="s">
        <v>12</v>
      </c>
      <c r="C63" s="33" t="s">
        <v>98</v>
      </c>
      <c r="D63" s="50">
        <v>45794</v>
      </c>
      <c r="E63" s="51" t="s">
        <v>85</v>
      </c>
      <c r="F63" s="52">
        <v>25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Gesamtauswertung</vt:lpstr>
      <vt:lpstr>Dateneingabe</vt:lpstr>
      <vt:lpstr>Dienstgradstufen</vt:lpstr>
      <vt:lpstr>Tabelle1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 Egal</dc:creator>
  <cp:lastModifiedBy>Windows User</cp:lastModifiedBy>
  <dcterms:created xsi:type="dcterms:W3CDTF">2024-10-06T11:06:26Z</dcterms:created>
  <dcterms:modified xsi:type="dcterms:W3CDTF">2025-05-31T07:06:50Z</dcterms:modified>
</cp:coreProperties>
</file>